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DAE\Macroeconomic Forecasting\"/>
    </mc:Choice>
  </mc:AlternateContent>
  <xr:revisionPtr revIDLastSave="0" documentId="13_ncr:1_{DE54C2C5-612B-45E4-98C6-FD98D8E47F45}" xr6:coauthVersionLast="47" xr6:coauthVersionMax="47" xr10:uidLastSave="{00000000-0000-0000-0000-000000000000}"/>
  <bookViews>
    <workbookView xWindow="2510" yWindow="1830" windowWidth="14400" windowHeight="7270" activeTab="3" xr2:uid="{082C6B4D-8015-43BD-AB58-FAFA0C707E68}"/>
  </bookViews>
  <sheets>
    <sheet name="raw" sheetId="1" r:id="rId1"/>
    <sheet name="calc" sheetId="2" r:id="rId2"/>
    <sheet name="weights" sheetId="3" r:id="rId3"/>
    <sheet name="index" sheetId="4" r:id="rId4"/>
    <sheet name="fruits, meat and eggs" sheetId="5" r:id="rId5"/>
  </sheets>
  <externalReferences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3" l="1"/>
  <c r="D16" i="5" l="1"/>
  <c r="D17" i="5"/>
  <c r="D15" i="5"/>
  <c r="C16" i="5"/>
  <c r="C17" i="5"/>
  <c r="C15" i="5"/>
  <c r="B16" i="5"/>
  <c r="B17" i="5"/>
  <c r="B15" i="5"/>
  <c r="D38" i="3"/>
  <c r="D33" i="3"/>
  <c r="D29" i="3"/>
  <c r="D21" i="3"/>
  <c r="D18" i="3"/>
  <c r="D14" i="3"/>
  <c r="D7" i="3"/>
  <c r="B38" i="3"/>
  <c r="B44" i="3"/>
  <c r="C42" i="3" s="1"/>
  <c r="J23" i="1"/>
  <c r="I23" i="1"/>
  <c r="G23" i="1"/>
  <c r="F23" i="1"/>
  <c r="C36" i="2" s="1"/>
  <c r="D23" i="1"/>
  <c r="C23" i="1"/>
  <c r="B36" i="2" s="1"/>
  <c r="J22" i="1"/>
  <c r="I22" i="1"/>
  <c r="D35" i="2" s="1"/>
  <c r="G22" i="1"/>
  <c r="F22" i="1"/>
  <c r="C35" i="2" s="1"/>
  <c r="D22" i="1"/>
  <c r="C22" i="1"/>
  <c r="B35" i="2" s="1"/>
  <c r="J21" i="1"/>
  <c r="I21" i="1"/>
  <c r="D34" i="2" s="1"/>
  <c r="G21" i="1"/>
  <c r="F21" i="1"/>
  <c r="C34" i="2" s="1"/>
  <c r="D21" i="1"/>
  <c r="C21" i="1"/>
  <c r="B34" i="2" s="1"/>
  <c r="J20" i="1"/>
  <c r="I20" i="1"/>
  <c r="G20" i="1"/>
  <c r="F20" i="1"/>
  <c r="C31" i="2" s="1"/>
  <c r="D20" i="1"/>
  <c r="C20" i="1"/>
  <c r="B31" i="2" s="1"/>
  <c r="J19" i="1"/>
  <c r="I19" i="1"/>
  <c r="D30" i="2" s="1"/>
  <c r="G19" i="1"/>
  <c r="F19" i="1"/>
  <c r="C30" i="2" s="1"/>
  <c r="D19" i="1"/>
  <c r="C19" i="1"/>
  <c r="B30" i="2" s="1"/>
  <c r="B32" i="2" s="1"/>
  <c r="B8" i="4" s="1"/>
  <c r="J18" i="1"/>
  <c r="I18" i="1"/>
  <c r="D16" i="2" s="1"/>
  <c r="G18" i="1"/>
  <c r="F18" i="1"/>
  <c r="C16" i="2" s="1"/>
  <c r="D18" i="1"/>
  <c r="C18" i="1"/>
  <c r="B16" i="2" s="1"/>
  <c r="J17" i="1"/>
  <c r="I17" i="1"/>
  <c r="D27" i="2" s="1"/>
  <c r="G17" i="1"/>
  <c r="F17" i="1"/>
  <c r="F27" i="2" s="1"/>
  <c r="D17" i="1"/>
  <c r="C17" i="1"/>
  <c r="B27" i="2" s="1"/>
  <c r="J16" i="1"/>
  <c r="I16" i="1"/>
  <c r="G16" i="1"/>
  <c r="F16" i="1"/>
  <c r="C26" i="2" s="1"/>
  <c r="D16" i="1"/>
  <c r="C16" i="1"/>
  <c r="E26" i="2" s="1"/>
  <c r="J15" i="1"/>
  <c r="I15" i="1"/>
  <c r="D25" i="2" s="1"/>
  <c r="G15" i="1"/>
  <c r="F15" i="1"/>
  <c r="C25" i="2" s="1"/>
  <c r="D15" i="1"/>
  <c r="C15" i="1"/>
  <c r="B25" i="2" s="1"/>
  <c r="J14" i="1"/>
  <c r="I14" i="1"/>
  <c r="D23" i="2" s="1"/>
  <c r="G14" i="1"/>
  <c r="F14" i="1"/>
  <c r="C23" i="2" s="1"/>
  <c r="D14" i="1"/>
  <c r="C14" i="1"/>
  <c r="B23" i="2" s="1"/>
  <c r="J13" i="1"/>
  <c r="I13" i="1"/>
  <c r="D22" i="2" s="1"/>
  <c r="G13" i="1"/>
  <c r="F13" i="1"/>
  <c r="C22" i="2" s="1"/>
  <c r="D13" i="1"/>
  <c r="C13" i="1"/>
  <c r="B22" i="2" s="1"/>
  <c r="J12" i="1"/>
  <c r="I12" i="1"/>
  <c r="G12" i="1"/>
  <c r="F12" i="1"/>
  <c r="C21" i="2" s="1"/>
  <c r="C24" i="2" s="1"/>
  <c r="C7" i="4" s="1"/>
  <c r="D12" i="1"/>
  <c r="C12" i="1"/>
  <c r="B21" i="2" s="1"/>
  <c r="J11" i="1"/>
  <c r="I11" i="1"/>
  <c r="D19" i="2" s="1"/>
  <c r="D6" i="4" s="1"/>
  <c r="G11" i="1"/>
  <c r="F11" i="1"/>
  <c r="C19" i="2" s="1"/>
  <c r="C6" i="4" s="1"/>
  <c r="D11" i="1"/>
  <c r="C11" i="1"/>
  <c r="B19" i="2" s="1"/>
  <c r="B6" i="4" s="1"/>
  <c r="J10" i="1"/>
  <c r="I10" i="1"/>
  <c r="D15" i="2" s="1"/>
  <c r="D17" i="2" s="1"/>
  <c r="D5" i="4" s="1"/>
  <c r="G10" i="1"/>
  <c r="F10" i="1"/>
  <c r="C15" i="2" s="1"/>
  <c r="C17" i="2" s="1"/>
  <c r="C5" i="4" s="1"/>
  <c r="D10" i="1"/>
  <c r="C10" i="1"/>
  <c r="B15" i="2" s="1"/>
  <c r="B17" i="2" s="1"/>
  <c r="B5" i="4" s="1"/>
  <c r="J9" i="1"/>
  <c r="I9" i="1"/>
  <c r="D12" i="2" s="1"/>
  <c r="G9" i="1"/>
  <c r="F9" i="1"/>
  <c r="C12" i="2" s="1"/>
  <c r="D9" i="1"/>
  <c r="C9" i="1"/>
  <c r="B12" i="2" s="1"/>
  <c r="J8" i="1"/>
  <c r="I8" i="1"/>
  <c r="G8" i="1"/>
  <c r="F8" i="1"/>
  <c r="C11" i="2" s="1"/>
  <c r="D8" i="1"/>
  <c r="C8" i="1"/>
  <c r="E11" i="2" s="1"/>
  <c r="J7" i="1"/>
  <c r="I7" i="1"/>
  <c r="D10" i="2" s="1"/>
  <c r="G7" i="1"/>
  <c r="F7" i="1"/>
  <c r="C10" i="2" s="1"/>
  <c r="D7" i="1"/>
  <c r="C7" i="1"/>
  <c r="B10" i="2" s="1"/>
  <c r="J6" i="1"/>
  <c r="I6" i="1"/>
  <c r="D9" i="2" s="1"/>
  <c r="G6" i="1"/>
  <c r="F6" i="1"/>
  <c r="C9" i="2" s="1"/>
  <c r="D6" i="1"/>
  <c r="C6" i="1"/>
  <c r="B9" i="2" s="1"/>
  <c r="J5" i="1"/>
  <c r="I5" i="1"/>
  <c r="D8" i="2" s="1"/>
  <c r="G5" i="1"/>
  <c r="F5" i="1"/>
  <c r="C8" i="2" s="1"/>
  <c r="D5" i="1"/>
  <c r="C5" i="1"/>
  <c r="B8" i="2" s="1"/>
  <c r="J4" i="1"/>
  <c r="I4" i="1"/>
  <c r="D5" i="2" s="1"/>
  <c r="G4" i="1"/>
  <c r="F4" i="1"/>
  <c r="F5" i="2" s="1"/>
  <c r="D4" i="1"/>
  <c r="C4" i="1"/>
  <c r="E5" i="2" s="1"/>
  <c r="J3" i="1"/>
  <c r="I3" i="1"/>
  <c r="G4" i="2" s="1"/>
  <c r="G3" i="1"/>
  <c r="F3" i="1"/>
  <c r="C4" i="2" s="1"/>
  <c r="D3" i="1"/>
  <c r="C3" i="1"/>
  <c r="E4" i="2" s="1"/>
  <c r="J2" i="1"/>
  <c r="I2" i="1"/>
  <c r="G3" i="2" s="1"/>
  <c r="G2" i="1"/>
  <c r="F2" i="1"/>
  <c r="F3" i="2" s="1"/>
  <c r="D2" i="1"/>
  <c r="C2" i="1"/>
  <c r="B3" i="2" s="1"/>
  <c r="C32" i="2" l="1"/>
  <c r="C8" i="4" s="1"/>
  <c r="D13" i="2"/>
  <c r="D4" i="4" s="1"/>
  <c r="D32" i="2"/>
  <c r="D8" i="4" s="1"/>
  <c r="B37" i="2"/>
  <c r="B9" i="4" s="1"/>
  <c r="C13" i="2"/>
  <c r="C4" i="4" s="1"/>
  <c r="B24" i="2"/>
  <c r="B7" i="4" s="1"/>
  <c r="C37" i="2"/>
  <c r="C9" i="4" s="1"/>
  <c r="E10" i="2"/>
  <c r="G11" i="2"/>
  <c r="G21" i="2"/>
  <c r="G26" i="2"/>
  <c r="G31" i="2"/>
  <c r="B4" i="2"/>
  <c r="B6" i="2" s="1"/>
  <c r="B3" i="4" s="1"/>
  <c r="D31" i="2"/>
  <c r="D21" i="2"/>
  <c r="D24" i="2" s="1"/>
  <c r="D7" i="4" s="1"/>
  <c r="G36" i="2"/>
  <c r="D3" i="2"/>
  <c r="B11" i="2"/>
  <c r="B13" i="2" s="1"/>
  <c r="B4" i="4" s="1"/>
  <c r="C3" i="2"/>
  <c r="C27" i="2"/>
  <c r="D4" i="2"/>
  <c r="D26" i="2"/>
  <c r="D11" i="2"/>
  <c r="C5" i="2"/>
  <c r="D36" i="2"/>
  <c r="D37" i="2" s="1"/>
  <c r="D9" i="4" s="1"/>
  <c r="B26" i="2"/>
  <c r="E36" i="2"/>
  <c r="B5" i="2"/>
  <c r="F11" i="2"/>
  <c r="F21" i="2"/>
  <c r="F26" i="2"/>
  <c r="E30" i="2"/>
  <c r="F31" i="2"/>
  <c r="G34" i="2"/>
  <c r="F23" i="2"/>
  <c r="G25" i="2"/>
  <c r="F16" i="2"/>
  <c r="G30" i="2"/>
  <c r="F35" i="2"/>
  <c r="E21" i="2"/>
  <c r="E31" i="2"/>
  <c r="G10" i="2"/>
  <c r="F15" i="2"/>
  <c r="F9" i="2"/>
  <c r="G19" i="2"/>
  <c r="G6" i="4" s="1"/>
  <c r="E19" i="2"/>
  <c r="E6" i="4" s="1"/>
  <c r="E25" i="2"/>
  <c r="E22" i="2"/>
  <c r="E34" i="2"/>
  <c r="G15" i="2"/>
  <c r="G23" i="2"/>
  <c r="G35" i="2"/>
  <c r="G8" i="2"/>
  <c r="G12" i="2"/>
  <c r="G22" i="2"/>
  <c r="G27" i="2"/>
  <c r="E8" i="2"/>
  <c r="F8" i="2"/>
  <c r="F22" i="2"/>
  <c r="E12" i="2"/>
  <c r="E27" i="2"/>
  <c r="G9" i="2"/>
  <c r="F12" i="2"/>
  <c r="G16" i="2"/>
  <c r="F34" i="2"/>
  <c r="E3" i="2"/>
  <c r="E6" i="2" s="1"/>
  <c r="E3" i="4" s="1"/>
  <c r="F4" i="2"/>
  <c r="F6" i="2" s="1"/>
  <c r="F3" i="4" s="1"/>
  <c r="G5" i="2"/>
  <c r="G6" i="2" s="1"/>
  <c r="G3" i="4" s="1"/>
  <c r="E9" i="2"/>
  <c r="F10" i="2"/>
  <c r="E15" i="2"/>
  <c r="F19" i="2"/>
  <c r="F6" i="4" s="1"/>
  <c r="E23" i="2"/>
  <c r="F25" i="2"/>
  <c r="E16" i="2"/>
  <c r="F30" i="2"/>
  <c r="F32" i="2" s="1"/>
  <c r="F8" i="4" s="1"/>
  <c r="E35" i="2"/>
  <c r="F36" i="2"/>
  <c r="C29" i="3"/>
  <c r="C33" i="3"/>
  <c r="C40" i="3"/>
  <c r="C41" i="3"/>
  <c r="C14" i="3"/>
  <c r="C18" i="3"/>
  <c r="C21" i="3"/>
  <c r="C2" i="3"/>
  <c r="C7" i="3"/>
  <c r="B10" i="4" l="1"/>
  <c r="D18" i="4" s="1"/>
  <c r="D20" i="4" s="1"/>
  <c r="C6" i="2"/>
  <c r="C3" i="4" s="1"/>
  <c r="C10" i="4" s="1"/>
  <c r="C18" i="4" s="1"/>
  <c r="C20" i="4" s="1"/>
  <c r="E24" i="2"/>
  <c r="E7" i="4" s="1"/>
  <c r="E32" i="2"/>
  <c r="E8" i="4" s="1"/>
  <c r="D6" i="2"/>
  <c r="D3" i="4" s="1"/>
  <c r="D10" i="4" s="1"/>
  <c r="B18" i="4" s="1"/>
  <c r="B20" i="4" s="1"/>
  <c r="G32" i="2"/>
  <c r="G8" i="4" s="1"/>
  <c r="F24" i="2"/>
  <c r="F7" i="4" s="1"/>
  <c r="F17" i="2"/>
  <c r="F5" i="4" s="1"/>
  <c r="G37" i="2"/>
  <c r="G9" i="4" s="1"/>
  <c r="G17" i="2"/>
  <c r="G5" i="4" s="1"/>
  <c r="G10" i="4" s="1"/>
  <c r="E18" i="4" s="1"/>
  <c r="E22" i="4" s="1"/>
  <c r="G24" i="2"/>
  <c r="G7" i="4" s="1"/>
  <c r="E17" i="2"/>
  <c r="E5" i="4" s="1"/>
  <c r="E10" i="4" s="1"/>
  <c r="G18" i="4" s="1"/>
  <c r="G22" i="4" s="1"/>
  <c r="F13" i="2"/>
  <c r="F4" i="4" s="1"/>
  <c r="F10" i="4" s="1"/>
  <c r="F18" i="4" s="1"/>
  <c r="F22" i="4" s="1"/>
  <c r="G13" i="2"/>
  <c r="G4" i="4" s="1"/>
  <c r="F37" i="2"/>
  <c r="F9" i="4" s="1"/>
  <c r="E13" i="2"/>
  <c r="E4" i="4" s="1"/>
  <c r="E37" i="2"/>
  <c r="E9" i="4" s="1"/>
  <c r="C44" i="3"/>
  <c r="E20" i="4" l="1"/>
  <c r="G20" i="4"/>
  <c r="F20" i="4"/>
</calcChain>
</file>

<file path=xl/sharedStrings.xml><?xml version="1.0" encoding="utf-8"?>
<sst xmlns="http://schemas.openxmlformats.org/spreadsheetml/2006/main" count="116" uniqueCount="53">
  <si>
    <t xml:space="preserve">Category </t>
  </si>
  <si>
    <t>Rice</t>
  </si>
  <si>
    <t>Wheat</t>
  </si>
  <si>
    <t>Atta (Wheat)</t>
  </si>
  <si>
    <t>Gram Dal</t>
  </si>
  <si>
    <t>Tur/Arhar Dal</t>
  </si>
  <si>
    <t>Urad Dal</t>
  </si>
  <si>
    <t>Moong Dal</t>
  </si>
  <si>
    <t>Masoor Dal</t>
  </si>
  <si>
    <t>Sugar</t>
  </si>
  <si>
    <t>Milk @</t>
  </si>
  <si>
    <t>Groundnut Oil (Packed)</t>
  </si>
  <si>
    <t>Mustard Oil (Packed)</t>
  </si>
  <si>
    <t>Vanaspati (Packed)</t>
  </si>
  <si>
    <t>Soya Oil (Packed)</t>
  </si>
  <si>
    <t>Sunflower Oil (Packed)</t>
  </si>
  <si>
    <t>Palm Oil (Packed)</t>
  </si>
  <si>
    <t>Gur</t>
  </si>
  <si>
    <t>Tea Loose</t>
  </si>
  <si>
    <t>Salt Pack (Iodised)</t>
  </si>
  <si>
    <t>Potato</t>
  </si>
  <si>
    <t>Onion</t>
  </si>
  <si>
    <t>Tomato</t>
  </si>
  <si>
    <t>Growth Factor</t>
  </si>
  <si>
    <t>Cereals and Products</t>
  </si>
  <si>
    <t>Pulses and Products</t>
  </si>
  <si>
    <t>Sugar and confectionary</t>
  </si>
  <si>
    <t>Oil and Fats</t>
  </si>
  <si>
    <t>Spices</t>
  </si>
  <si>
    <t>Vegetables</t>
  </si>
  <si>
    <t>Component</t>
  </si>
  <si>
    <t>Weight</t>
  </si>
  <si>
    <t>Rescaled</t>
  </si>
  <si>
    <t>Cereals and products</t>
  </si>
  <si>
    <t>Pulses and products</t>
  </si>
  <si>
    <t>Sugar &amp; Confectionery</t>
  </si>
  <si>
    <t>Milk and products</t>
  </si>
  <si>
    <t>Oils and fats</t>
  </si>
  <si>
    <t>Fruits</t>
  </si>
  <si>
    <t>Meat and fish</t>
  </si>
  <si>
    <t>Egg</t>
  </si>
  <si>
    <t>Meat and Fish</t>
  </si>
  <si>
    <t xml:space="preserve">Official </t>
  </si>
  <si>
    <t xml:space="preserve">Calculated </t>
  </si>
  <si>
    <t>Rescaling (excluding fruits, fish and meat)</t>
  </si>
  <si>
    <t>CFPI</t>
  </si>
  <si>
    <t>Constructed</t>
  </si>
  <si>
    <t>Growth</t>
  </si>
  <si>
    <t>Forecasted</t>
  </si>
  <si>
    <t>Difference</t>
  </si>
  <si>
    <t>YoY changes</t>
  </si>
  <si>
    <t>Official</t>
  </si>
  <si>
    <t>CFPI (Official)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</si>
</sst>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2" borderId="0" xfId="0" applyFill="1"/>
    <xf numFmtId="17" fontId="0" fillId="2" borderId="0" xfId="0" applyNumberFormat="1" applyFill="1"/>
    <xf numFmtId="2" fontId="0" fillId="0" borderId="0" xfId="0" applyNumberFormat="1"/>
    <xf numFmtId="17" fontId="0" fillId="0" borderId="0" xfId="0" applyNumberFormat="1"/>
    <xf numFmtId="17" fontId="2" fillId="2" borderId="0" xfId="0" applyNumberFormat="1" applyFont="1" applyFill="1"/>
    <xf numFmtId="0" fontId="1" fillId="0" borderId="0" xfId="0" applyFont="1"/>
    <xf numFmtId="0" fontId="2" fillId="2" borderId="0" xfId="0" applyFont="1" applyFill="1"/>
    <xf numFmtId="0" fontId="2" fillId="0" borderId="0" xfId="0" applyFont="1" applyAlignment="1">
      <alignment wrapText="1"/>
    </xf>
    <xf numFmtId="0" fontId="2" fillId="0" borderId="0" xfId="0" applyFont="1"/>
    <xf numFmtId="2" fontId="2" fillId="0" borderId="0" xfId="0" applyNumberFormat="1" applyFont="1"/>
    <xf numFmtId="0" fontId="0" fillId="0" borderId="0" xfId="0" applyAlignment="1">
      <alignment wrapText="1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3" borderId="2" xfId="0" applyFill="1" applyBorder="1"/>
    <xf numFmtId="0" fontId="0" fillId="3" borderId="3" xfId="0" applyFill="1" applyBorder="1"/>
    <xf numFmtId="0" fontId="0" fillId="3" borderId="1" xfId="0" applyFill="1" applyBorder="1"/>
    <xf numFmtId="0" fontId="0" fillId="0" borderId="5" xfId="0" applyBorder="1"/>
    <xf numFmtId="0" fontId="0" fillId="0" borderId="4" xfId="0" applyBorder="1"/>
    <xf numFmtId="0" fontId="0" fillId="0" borderId="6" xfId="0" applyBorder="1"/>
    <xf numFmtId="0" fontId="0" fillId="0" borderId="1" xfId="0" applyBorder="1"/>
    <xf numFmtId="17" fontId="0" fillId="0" borderId="5" xfId="0" applyNumberFormat="1" applyBorder="1"/>
    <xf numFmtId="0" fontId="2" fillId="3" borderId="5" xfId="0" applyFont="1" applyFill="1" applyBorder="1"/>
    <xf numFmtId="0" fontId="2" fillId="0" borderId="4" xfId="0" applyFont="1" applyBorder="1"/>
    <xf numFmtId="16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MDAE\Macroeconomic%20Forecasting\Food%20and%20Bev(AutoRecovered).xlsx" TargetMode="External"/><Relationship Id="rId1" Type="http://schemas.openxmlformats.org/officeDocument/2006/relationships/externalLinkPath" Target="Food%20and%20Bev(AutoRecovered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road Categories"/>
      <sheetName val="comp"/>
      <sheetName val="official share"/>
      <sheetName val="calc share"/>
      <sheetName val="index"/>
      <sheetName val="avgs"/>
      <sheetName val="calculations"/>
      <sheetName val="July 2023"/>
      <sheetName val="sept 23"/>
      <sheetName val="Aug 2023"/>
      <sheetName val="Sept 2024"/>
      <sheetName val="Sept 2025"/>
      <sheetName val="July 2024"/>
      <sheetName val="July 2025"/>
      <sheetName val="Aug 2024"/>
      <sheetName val="Aug 2025"/>
      <sheetName val="Mis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2">
          <cell r="B2">
            <v>43.23</v>
          </cell>
          <cell r="C2">
            <v>43.26</v>
          </cell>
          <cell r="D2">
            <v>43.17</v>
          </cell>
        </row>
        <row r="3">
          <cell r="B3">
            <v>30.75</v>
          </cell>
          <cell r="C3">
            <v>31.17</v>
          </cell>
          <cell r="D3">
            <v>31.64</v>
          </cell>
        </row>
        <row r="4">
          <cell r="B4">
            <v>35.799999999999997</v>
          </cell>
          <cell r="C4">
            <v>36.06</v>
          </cell>
          <cell r="D4">
            <v>36.880000000000003</v>
          </cell>
        </row>
        <row r="5">
          <cell r="B5">
            <v>91.3</v>
          </cell>
          <cell r="C5">
            <v>92.29</v>
          </cell>
          <cell r="D5">
            <v>87.11</v>
          </cell>
        </row>
        <row r="6">
          <cell r="B6">
            <v>163.83000000000001</v>
          </cell>
          <cell r="C6">
            <v>163.13999999999999</v>
          </cell>
          <cell r="D6">
            <v>115.6</v>
          </cell>
        </row>
        <row r="7">
          <cell r="B7">
            <v>124.14</v>
          </cell>
          <cell r="C7">
            <v>124.18</v>
          </cell>
          <cell r="D7">
            <v>114.05</v>
          </cell>
        </row>
        <row r="8">
          <cell r="B8">
            <v>114.54</v>
          </cell>
          <cell r="C8">
            <v>114.59</v>
          </cell>
          <cell r="D8">
            <v>110.43</v>
          </cell>
        </row>
        <row r="9">
          <cell r="B9">
            <v>89.09</v>
          </cell>
          <cell r="C9">
            <v>89.06</v>
          </cell>
          <cell r="D9">
            <v>89.73</v>
          </cell>
        </row>
        <row r="10">
          <cell r="B10">
            <v>44.42</v>
          </cell>
          <cell r="C10">
            <v>44.31</v>
          </cell>
          <cell r="D10">
            <v>46.38</v>
          </cell>
        </row>
        <row r="11">
          <cell r="B11">
            <v>58.65</v>
          </cell>
          <cell r="C11">
            <v>58.12</v>
          </cell>
          <cell r="D11">
            <v>59.24</v>
          </cell>
        </row>
        <row r="12">
          <cell r="B12">
            <v>179.91</v>
          </cell>
          <cell r="C12">
            <v>179.96</v>
          </cell>
          <cell r="D12">
            <v>187.97</v>
          </cell>
        </row>
        <row r="13">
          <cell r="B13">
            <v>139.16</v>
          </cell>
          <cell r="C13">
            <v>142.22999999999999</v>
          </cell>
          <cell r="D13">
            <v>188.12</v>
          </cell>
        </row>
        <row r="14">
          <cell r="B14">
            <v>122.1</v>
          </cell>
          <cell r="C14">
            <v>122.04</v>
          </cell>
          <cell r="D14">
            <v>156.57</v>
          </cell>
        </row>
        <row r="15">
          <cell r="B15">
            <v>117.56</v>
          </cell>
          <cell r="C15">
            <v>118.57</v>
          </cell>
          <cell r="D15">
            <v>146.88999999999999</v>
          </cell>
        </row>
        <row r="16">
          <cell r="B16">
            <v>119.29</v>
          </cell>
          <cell r="C16">
            <v>119.31</v>
          </cell>
          <cell r="D16">
            <v>162.94</v>
          </cell>
        </row>
        <row r="17">
          <cell r="B17">
            <v>98.87</v>
          </cell>
          <cell r="C17">
            <v>100.65</v>
          </cell>
          <cell r="D17">
            <v>132.5</v>
          </cell>
        </row>
        <row r="18">
          <cell r="B18">
            <v>54.06</v>
          </cell>
          <cell r="C18">
            <v>54</v>
          </cell>
          <cell r="D18">
            <v>57.04</v>
          </cell>
        </row>
        <row r="19">
          <cell r="B19">
            <v>259.38</v>
          </cell>
          <cell r="C19">
            <v>261.25</v>
          </cell>
          <cell r="D19">
            <v>270.64999999999998</v>
          </cell>
        </row>
        <row r="20">
          <cell r="B20">
            <v>22.15</v>
          </cell>
          <cell r="C20">
            <v>22.53</v>
          </cell>
          <cell r="D20">
            <v>21.26</v>
          </cell>
        </row>
        <row r="21">
          <cell r="B21">
            <v>36.25</v>
          </cell>
          <cell r="C21">
            <v>35.630000000000003</v>
          </cell>
          <cell r="D21">
            <v>25.41</v>
          </cell>
        </row>
        <row r="22">
          <cell r="B22">
            <v>47.34</v>
          </cell>
          <cell r="C22">
            <v>49.27</v>
          </cell>
          <cell r="D22">
            <v>26.85</v>
          </cell>
        </row>
        <row r="23">
          <cell r="B23">
            <v>42.89</v>
          </cell>
          <cell r="C23">
            <v>40.24</v>
          </cell>
          <cell r="D23">
            <v>38.549999999999997</v>
          </cell>
        </row>
      </sheetData>
      <sheetData sheetId="11">
        <row r="2">
          <cell r="B2">
            <v>43.04</v>
          </cell>
          <cell r="C2">
            <v>43.02</v>
          </cell>
          <cell r="D2">
            <v>43.17</v>
          </cell>
        </row>
        <row r="3">
          <cell r="B3">
            <v>31.74</v>
          </cell>
          <cell r="C3">
            <v>31.77</v>
          </cell>
          <cell r="D3">
            <v>31.64</v>
          </cell>
        </row>
        <row r="4">
          <cell r="B4">
            <v>36.979999999999997</v>
          </cell>
          <cell r="C4">
            <v>37.020000000000003</v>
          </cell>
          <cell r="D4">
            <v>36.880000000000003</v>
          </cell>
        </row>
        <row r="5">
          <cell r="B5">
            <v>87.36</v>
          </cell>
          <cell r="C5">
            <v>87.37</v>
          </cell>
          <cell r="D5">
            <v>87.11</v>
          </cell>
        </row>
        <row r="6">
          <cell r="B6">
            <v>117.19</v>
          </cell>
          <cell r="C6">
            <v>116.35</v>
          </cell>
          <cell r="D6">
            <v>115.6</v>
          </cell>
        </row>
        <row r="7">
          <cell r="B7">
            <v>114.28</v>
          </cell>
          <cell r="C7">
            <v>114.18</v>
          </cell>
          <cell r="D7">
            <v>114.05</v>
          </cell>
        </row>
        <row r="8">
          <cell r="B8">
            <v>110.43</v>
          </cell>
          <cell r="C8">
            <v>110.59</v>
          </cell>
          <cell r="D8">
            <v>110.43</v>
          </cell>
        </row>
        <row r="9">
          <cell r="B9">
            <v>89.43</v>
          </cell>
          <cell r="C9">
            <v>89.57</v>
          </cell>
          <cell r="D9">
            <v>89.73</v>
          </cell>
        </row>
        <row r="10">
          <cell r="B10">
            <v>46.4</v>
          </cell>
          <cell r="C10">
            <v>46.55</v>
          </cell>
          <cell r="D10">
            <v>46.38</v>
          </cell>
        </row>
        <row r="11">
          <cell r="B11">
            <v>59.3</v>
          </cell>
          <cell r="C11">
            <v>59.47</v>
          </cell>
          <cell r="D11">
            <v>59.24</v>
          </cell>
        </row>
        <row r="12">
          <cell r="B12">
            <v>187.77</v>
          </cell>
          <cell r="C12">
            <v>188.4</v>
          </cell>
          <cell r="D12">
            <v>187.97</v>
          </cell>
        </row>
        <row r="13">
          <cell r="B13">
            <v>187.94</v>
          </cell>
          <cell r="C13">
            <v>188.63</v>
          </cell>
          <cell r="D13">
            <v>188.12</v>
          </cell>
        </row>
        <row r="14">
          <cell r="B14">
            <v>156.96</v>
          </cell>
          <cell r="C14">
            <v>156.94999999999999</v>
          </cell>
          <cell r="D14">
            <v>156.57</v>
          </cell>
        </row>
        <row r="15">
          <cell r="B15">
            <v>147.59</v>
          </cell>
          <cell r="C15">
            <v>147.21</v>
          </cell>
          <cell r="D15">
            <v>146.88999999999999</v>
          </cell>
        </row>
        <row r="16">
          <cell r="B16">
            <v>161.93</v>
          </cell>
          <cell r="C16">
            <v>162.43</v>
          </cell>
          <cell r="D16">
            <v>162.94</v>
          </cell>
        </row>
        <row r="17">
          <cell r="B17">
            <v>131.71</v>
          </cell>
          <cell r="C17">
            <v>132.65</v>
          </cell>
          <cell r="D17">
            <v>132.5</v>
          </cell>
        </row>
        <row r="18">
          <cell r="B18">
            <v>56.91</v>
          </cell>
          <cell r="C18">
            <v>56.93</v>
          </cell>
          <cell r="D18">
            <v>57.04</v>
          </cell>
        </row>
        <row r="19">
          <cell r="B19">
            <v>272.55</v>
          </cell>
          <cell r="C19">
            <v>272.16000000000003</v>
          </cell>
          <cell r="D19">
            <v>270.64999999999998</v>
          </cell>
        </row>
        <row r="20">
          <cell r="B20">
            <v>21.37</v>
          </cell>
          <cell r="C20">
            <v>21.36</v>
          </cell>
          <cell r="D20">
            <v>21.26</v>
          </cell>
        </row>
        <row r="21">
          <cell r="B21">
            <v>25.5</v>
          </cell>
          <cell r="C21">
            <v>25.37</v>
          </cell>
          <cell r="D21">
            <v>25.41</v>
          </cell>
        </row>
        <row r="22">
          <cell r="B22">
            <v>28.48</v>
          </cell>
          <cell r="C22">
            <v>27.82</v>
          </cell>
          <cell r="D22">
            <v>26.85</v>
          </cell>
        </row>
        <row r="23">
          <cell r="B23">
            <v>50.06</v>
          </cell>
          <cell r="C23">
            <v>40.94</v>
          </cell>
          <cell r="D23">
            <v>38.549999999999997</v>
          </cell>
        </row>
      </sheetData>
      <sheetData sheetId="12">
        <row r="2">
          <cell r="B2">
            <v>44.95</v>
          </cell>
          <cell r="C2">
            <v>44.81</v>
          </cell>
          <cell r="D2">
            <v>45.03</v>
          </cell>
          <cell r="E2">
            <v>44.93</v>
          </cell>
          <cell r="F2">
            <v>44.9</v>
          </cell>
          <cell r="G2">
            <v>44.72</v>
          </cell>
          <cell r="H2">
            <v>45.14</v>
          </cell>
          <cell r="I2">
            <v>45.04</v>
          </cell>
          <cell r="J2">
            <v>44.82</v>
          </cell>
          <cell r="K2">
            <v>44.84</v>
          </cell>
          <cell r="L2">
            <v>44.79</v>
          </cell>
          <cell r="M2">
            <v>44.7</v>
          </cell>
          <cell r="N2">
            <v>44.15</v>
          </cell>
          <cell r="O2">
            <v>44.95</v>
          </cell>
          <cell r="P2">
            <v>44.76</v>
          </cell>
          <cell r="Q2">
            <v>44.51</v>
          </cell>
          <cell r="R2">
            <v>44.75</v>
          </cell>
          <cell r="S2">
            <v>44.76</v>
          </cell>
          <cell r="T2">
            <v>44.63</v>
          </cell>
          <cell r="U2">
            <v>44.1</v>
          </cell>
          <cell r="V2">
            <v>44.48</v>
          </cell>
          <cell r="W2">
            <v>44.66</v>
          </cell>
          <cell r="X2">
            <v>44.42</v>
          </cell>
          <cell r="Y2">
            <v>44.27</v>
          </cell>
          <cell r="Z2">
            <v>44.33</v>
          </cell>
          <cell r="AA2">
            <v>44.13</v>
          </cell>
          <cell r="AB2">
            <v>43.75</v>
          </cell>
          <cell r="AC2">
            <v>43.77</v>
          </cell>
          <cell r="AD2">
            <v>43.75</v>
          </cell>
          <cell r="AE2">
            <v>44.04</v>
          </cell>
          <cell r="AF2">
            <v>43.93</v>
          </cell>
        </row>
        <row r="3">
          <cell r="B3">
            <v>31.17</v>
          </cell>
          <cell r="C3">
            <v>31.13</v>
          </cell>
          <cell r="D3">
            <v>31.13</v>
          </cell>
          <cell r="E3">
            <v>31.24</v>
          </cell>
          <cell r="F3">
            <v>31.2</v>
          </cell>
          <cell r="G3">
            <v>31.42</v>
          </cell>
          <cell r="H3">
            <v>31.32</v>
          </cell>
          <cell r="I3">
            <v>31.08</v>
          </cell>
          <cell r="J3">
            <v>31.26</v>
          </cell>
          <cell r="K3">
            <v>31.26</v>
          </cell>
          <cell r="L3">
            <v>31.26</v>
          </cell>
          <cell r="M3">
            <v>31.33</v>
          </cell>
          <cell r="N3">
            <v>31.19</v>
          </cell>
          <cell r="O3">
            <v>31.43</v>
          </cell>
          <cell r="P3">
            <v>31.35</v>
          </cell>
          <cell r="Q3">
            <v>31.32</v>
          </cell>
          <cell r="R3">
            <v>31.28</v>
          </cell>
          <cell r="S3">
            <v>31.35</v>
          </cell>
          <cell r="T3">
            <v>31.33</v>
          </cell>
          <cell r="U3">
            <v>31.56</v>
          </cell>
          <cell r="V3">
            <v>31.51</v>
          </cell>
          <cell r="W3">
            <v>31.31</v>
          </cell>
          <cell r="X3">
            <v>31.24</v>
          </cell>
          <cell r="Y3">
            <v>31.12</v>
          </cell>
          <cell r="Z3">
            <v>31.01</v>
          </cell>
          <cell r="AA3">
            <v>31.18</v>
          </cell>
          <cell r="AB3">
            <v>31.05</v>
          </cell>
          <cell r="AC3">
            <v>31.29</v>
          </cell>
          <cell r="AD3">
            <v>31.06</v>
          </cell>
          <cell r="AE3">
            <v>31.1</v>
          </cell>
          <cell r="AF3">
            <v>31.08</v>
          </cell>
        </row>
        <row r="4">
          <cell r="B4">
            <v>36.200000000000003</v>
          </cell>
          <cell r="C4">
            <v>36.14</v>
          </cell>
          <cell r="D4">
            <v>36.17</v>
          </cell>
          <cell r="E4">
            <v>36.29</v>
          </cell>
          <cell r="F4">
            <v>36.28</v>
          </cell>
          <cell r="G4">
            <v>36.5</v>
          </cell>
          <cell r="H4">
            <v>36.520000000000003</v>
          </cell>
          <cell r="I4">
            <v>36.11</v>
          </cell>
          <cell r="J4">
            <v>36.15</v>
          </cell>
          <cell r="K4">
            <v>36.090000000000003</v>
          </cell>
          <cell r="L4">
            <v>36.119999999999997</v>
          </cell>
          <cell r="M4">
            <v>36.14</v>
          </cell>
          <cell r="N4">
            <v>36.11</v>
          </cell>
          <cell r="O4">
            <v>36.32</v>
          </cell>
          <cell r="P4">
            <v>36.200000000000003</v>
          </cell>
          <cell r="Q4">
            <v>36.24</v>
          </cell>
          <cell r="R4">
            <v>36.200000000000003</v>
          </cell>
          <cell r="S4">
            <v>36.200000000000003</v>
          </cell>
          <cell r="T4">
            <v>36.119999999999997</v>
          </cell>
          <cell r="U4">
            <v>36.28</v>
          </cell>
          <cell r="V4">
            <v>36.22</v>
          </cell>
          <cell r="W4">
            <v>36.03</v>
          </cell>
          <cell r="X4">
            <v>35.97</v>
          </cell>
          <cell r="Y4">
            <v>35.85</v>
          </cell>
          <cell r="Z4">
            <v>35.72</v>
          </cell>
          <cell r="AA4">
            <v>35.880000000000003</v>
          </cell>
          <cell r="AB4">
            <v>35.950000000000003</v>
          </cell>
          <cell r="AC4">
            <v>35.909999999999997</v>
          </cell>
          <cell r="AD4">
            <v>35.799999999999997</v>
          </cell>
          <cell r="AE4">
            <v>35.880000000000003</v>
          </cell>
          <cell r="AF4">
            <v>35.81</v>
          </cell>
        </row>
        <row r="5">
          <cell r="B5">
            <v>88.62</v>
          </cell>
          <cell r="C5">
            <v>88.52</v>
          </cell>
          <cell r="D5">
            <v>88.61</v>
          </cell>
          <cell r="E5">
            <v>88.82</v>
          </cell>
          <cell r="F5">
            <v>88.78</v>
          </cell>
          <cell r="G5">
            <v>88.82</v>
          </cell>
          <cell r="H5">
            <v>88.66</v>
          </cell>
          <cell r="I5">
            <v>89.14</v>
          </cell>
          <cell r="J5">
            <v>89.24</v>
          </cell>
          <cell r="K5">
            <v>89.31</v>
          </cell>
          <cell r="L5">
            <v>89.53</v>
          </cell>
          <cell r="M5">
            <v>89.64</v>
          </cell>
          <cell r="N5">
            <v>89.1</v>
          </cell>
          <cell r="O5">
            <v>89.27</v>
          </cell>
          <cell r="P5">
            <v>89.67</v>
          </cell>
          <cell r="Q5">
            <v>88.56</v>
          </cell>
          <cell r="R5">
            <v>88.6</v>
          </cell>
          <cell r="S5">
            <v>88.7</v>
          </cell>
          <cell r="T5">
            <v>88.46</v>
          </cell>
          <cell r="U5">
            <v>88.03</v>
          </cell>
          <cell r="V5">
            <v>88.06</v>
          </cell>
          <cell r="W5">
            <v>88.47</v>
          </cell>
          <cell r="X5">
            <v>88.77</v>
          </cell>
          <cell r="Y5">
            <v>88.59</v>
          </cell>
          <cell r="Z5">
            <v>88.56</v>
          </cell>
          <cell r="AA5">
            <v>88.66</v>
          </cell>
          <cell r="AB5">
            <v>88.66</v>
          </cell>
          <cell r="AC5">
            <v>88.88</v>
          </cell>
          <cell r="AD5">
            <v>88.64</v>
          </cell>
          <cell r="AE5">
            <v>88.59</v>
          </cell>
          <cell r="AF5">
            <v>88.63</v>
          </cell>
        </row>
        <row r="6">
          <cell r="B6">
            <v>162.63</v>
          </cell>
          <cell r="C6">
            <v>162.6</v>
          </cell>
          <cell r="D6">
            <v>162.52000000000001</v>
          </cell>
          <cell r="E6">
            <v>162.91999999999999</v>
          </cell>
          <cell r="F6">
            <v>165.66</v>
          </cell>
          <cell r="G6">
            <v>167.55</v>
          </cell>
          <cell r="H6">
            <v>168.31</v>
          </cell>
          <cell r="I6">
            <v>166.99</v>
          </cell>
          <cell r="J6">
            <v>167.38</v>
          </cell>
          <cell r="K6">
            <v>168.39</v>
          </cell>
          <cell r="L6">
            <v>168.52</v>
          </cell>
          <cell r="M6">
            <v>168.98</v>
          </cell>
          <cell r="N6">
            <v>168.59</v>
          </cell>
          <cell r="O6">
            <v>169.81</v>
          </cell>
          <cell r="P6">
            <v>168.75</v>
          </cell>
          <cell r="Q6">
            <v>167.87</v>
          </cell>
          <cell r="R6">
            <v>167.53</v>
          </cell>
          <cell r="S6">
            <v>168.34</v>
          </cell>
          <cell r="T6">
            <v>168.02</v>
          </cell>
          <cell r="U6">
            <v>167.78</v>
          </cell>
          <cell r="V6">
            <v>168.41</v>
          </cell>
          <cell r="W6">
            <v>168.2</v>
          </cell>
          <cell r="X6">
            <v>167.8</v>
          </cell>
          <cell r="Y6">
            <v>167.67</v>
          </cell>
          <cell r="Z6">
            <v>167.57</v>
          </cell>
          <cell r="AA6">
            <v>167.33</v>
          </cell>
          <cell r="AB6">
            <v>167.65</v>
          </cell>
          <cell r="AC6">
            <v>168.21</v>
          </cell>
          <cell r="AD6">
            <v>167.63</v>
          </cell>
          <cell r="AE6">
            <v>167.44</v>
          </cell>
          <cell r="AF6">
            <v>167.42</v>
          </cell>
        </row>
        <row r="7">
          <cell r="B7">
            <v>126.87</v>
          </cell>
          <cell r="C7">
            <v>126.67</v>
          </cell>
          <cell r="D7">
            <v>127.22</v>
          </cell>
          <cell r="E7">
            <v>127.08</v>
          </cell>
          <cell r="F7">
            <v>127.35</v>
          </cell>
          <cell r="G7">
            <v>127.95</v>
          </cell>
          <cell r="H7">
            <v>127.56</v>
          </cell>
          <cell r="I7">
            <v>127.53</v>
          </cell>
          <cell r="J7">
            <v>127.73</v>
          </cell>
          <cell r="K7">
            <v>127.64</v>
          </cell>
          <cell r="L7">
            <v>127.72</v>
          </cell>
          <cell r="M7">
            <v>127.74</v>
          </cell>
          <cell r="N7">
            <v>127.66</v>
          </cell>
          <cell r="O7">
            <v>128.13</v>
          </cell>
          <cell r="P7">
            <v>127.95</v>
          </cell>
          <cell r="Q7">
            <v>127.22</v>
          </cell>
          <cell r="R7">
            <v>127.31</v>
          </cell>
          <cell r="S7">
            <v>126.93</v>
          </cell>
          <cell r="T7">
            <v>126.85</v>
          </cell>
          <cell r="U7">
            <v>126.41</v>
          </cell>
          <cell r="V7">
            <v>126.45</v>
          </cell>
          <cell r="W7">
            <v>126.87</v>
          </cell>
          <cell r="X7">
            <v>126.27</v>
          </cell>
          <cell r="Y7">
            <v>126.59</v>
          </cell>
          <cell r="Z7">
            <v>126.57</v>
          </cell>
          <cell r="AA7">
            <v>126.07</v>
          </cell>
          <cell r="AB7">
            <v>126.41</v>
          </cell>
          <cell r="AC7">
            <v>126.58</v>
          </cell>
          <cell r="AD7">
            <v>126.49</v>
          </cell>
          <cell r="AE7">
            <v>126.41</v>
          </cell>
          <cell r="AF7">
            <v>126.63</v>
          </cell>
        </row>
        <row r="8">
          <cell r="B8">
            <v>118.79</v>
          </cell>
          <cell r="C8">
            <v>118.78</v>
          </cell>
          <cell r="D8">
            <v>119.1</v>
          </cell>
          <cell r="E8">
            <v>118.97</v>
          </cell>
          <cell r="F8">
            <v>119.07</v>
          </cell>
          <cell r="G8">
            <v>119.12</v>
          </cell>
          <cell r="H8">
            <v>118.68</v>
          </cell>
          <cell r="I8">
            <v>119.22</v>
          </cell>
          <cell r="J8">
            <v>118.98</v>
          </cell>
          <cell r="K8">
            <v>118.87</v>
          </cell>
          <cell r="L8">
            <v>118.99</v>
          </cell>
          <cell r="M8">
            <v>119.11</v>
          </cell>
          <cell r="N8">
            <v>118.74</v>
          </cell>
          <cell r="O8">
            <v>118.54</v>
          </cell>
          <cell r="P8">
            <v>119.25</v>
          </cell>
          <cell r="Q8">
            <v>118.65</v>
          </cell>
          <cell r="R8">
            <v>118.64</v>
          </cell>
          <cell r="S8">
            <v>118.23</v>
          </cell>
          <cell r="T8">
            <v>118.07</v>
          </cell>
          <cell r="U8">
            <v>117.7</v>
          </cell>
          <cell r="V8">
            <v>117.34</v>
          </cell>
          <cell r="W8">
            <v>117.83</v>
          </cell>
          <cell r="X8">
            <v>117.57</v>
          </cell>
          <cell r="Y8">
            <v>117.66</v>
          </cell>
          <cell r="Z8">
            <v>117.63</v>
          </cell>
          <cell r="AA8">
            <v>117.35</v>
          </cell>
          <cell r="AB8">
            <v>117.64</v>
          </cell>
          <cell r="AC8">
            <v>117.21</v>
          </cell>
          <cell r="AD8">
            <v>117.48</v>
          </cell>
          <cell r="AE8">
            <v>117.36</v>
          </cell>
          <cell r="AF8">
            <v>117.62</v>
          </cell>
        </row>
        <row r="9">
          <cell r="B9">
            <v>94.15</v>
          </cell>
          <cell r="C9">
            <v>94.2</v>
          </cell>
          <cell r="D9">
            <v>94.47</v>
          </cell>
          <cell r="E9">
            <v>94.36</v>
          </cell>
          <cell r="F9">
            <v>94.36</v>
          </cell>
          <cell r="G9">
            <v>94.09</v>
          </cell>
          <cell r="H9">
            <v>93.98</v>
          </cell>
          <cell r="I9">
            <v>94.78</v>
          </cell>
          <cell r="J9">
            <v>94.31</v>
          </cell>
          <cell r="K9">
            <v>94.09</v>
          </cell>
          <cell r="L9">
            <v>94.14</v>
          </cell>
          <cell r="M9">
            <v>94.1</v>
          </cell>
          <cell r="N9">
            <v>93.57</v>
          </cell>
          <cell r="O9">
            <v>93.7</v>
          </cell>
          <cell r="P9">
            <v>94.21</v>
          </cell>
          <cell r="Q9">
            <v>93.53</v>
          </cell>
          <cell r="R9">
            <v>93.49</v>
          </cell>
          <cell r="S9">
            <v>93.39</v>
          </cell>
          <cell r="T9">
            <v>93</v>
          </cell>
          <cell r="U9">
            <v>92.01</v>
          </cell>
          <cell r="V9">
            <v>92.24</v>
          </cell>
          <cell r="W9">
            <v>92.22</v>
          </cell>
          <cell r="X9">
            <v>92.31</v>
          </cell>
          <cell r="Y9">
            <v>92.3</v>
          </cell>
          <cell r="Z9">
            <v>92.18</v>
          </cell>
          <cell r="AA9">
            <v>91.94</v>
          </cell>
          <cell r="AB9">
            <v>92.04</v>
          </cell>
          <cell r="AC9">
            <v>91.59</v>
          </cell>
          <cell r="AD9">
            <v>91.85</v>
          </cell>
          <cell r="AE9">
            <v>91.74</v>
          </cell>
          <cell r="AF9">
            <v>91.77</v>
          </cell>
        </row>
        <row r="10">
          <cell r="B10">
            <v>44.92</v>
          </cell>
          <cell r="C10">
            <v>44.93</v>
          </cell>
          <cell r="D10">
            <v>44.91</v>
          </cell>
          <cell r="E10">
            <v>44.95</v>
          </cell>
          <cell r="F10">
            <v>44.96</v>
          </cell>
          <cell r="G10">
            <v>44.91</v>
          </cell>
          <cell r="H10">
            <v>44.42</v>
          </cell>
          <cell r="I10">
            <v>44.97</v>
          </cell>
          <cell r="J10">
            <v>44.95</v>
          </cell>
          <cell r="K10">
            <v>44.96</v>
          </cell>
          <cell r="L10">
            <v>44.97</v>
          </cell>
          <cell r="M10">
            <v>44.95</v>
          </cell>
          <cell r="N10">
            <v>45.01</v>
          </cell>
          <cell r="O10">
            <v>44.39</v>
          </cell>
          <cell r="P10">
            <v>45.03</v>
          </cell>
          <cell r="Q10">
            <v>45.02</v>
          </cell>
          <cell r="R10">
            <v>45</v>
          </cell>
          <cell r="S10">
            <v>44.96</v>
          </cell>
          <cell r="T10">
            <v>44.87</v>
          </cell>
          <cell r="U10">
            <v>44.87</v>
          </cell>
          <cell r="V10">
            <v>44.36</v>
          </cell>
          <cell r="W10">
            <v>44.87</v>
          </cell>
          <cell r="X10">
            <v>44.86</v>
          </cell>
          <cell r="Y10">
            <v>44.84</v>
          </cell>
          <cell r="Z10">
            <v>44.84</v>
          </cell>
          <cell r="AA10">
            <v>44.86</v>
          </cell>
          <cell r="AB10">
            <v>44.85</v>
          </cell>
          <cell r="AC10">
            <v>44.4</v>
          </cell>
          <cell r="AD10">
            <v>44.86</v>
          </cell>
          <cell r="AE10">
            <v>44.82</v>
          </cell>
          <cell r="AF10">
            <v>44.85</v>
          </cell>
        </row>
        <row r="11">
          <cell r="B11">
            <v>59.18</v>
          </cell>
          <cell r="C11">
            <v>59.11</v>
          </cell>
          <cell r="D11">
            <v>59.13</v>
          </cell>
          <cell r="E11">
            <v>59.09</v>
          </cell>
          <cell r="F11">
            <v>59.42</v>
          </cell>
          <cell r="G11">
            <v>59.35</v>
          </cell>
          <cell r="H11">
            <v>58.6</v>
          </cell>
          <cell r="I11">
            <v>59.45</v>
          </cell>
          <cell r="J11">
            <v>59.34</v>
          </cell>
          <cell r="K11">
            <v>59.16</v>
          </cell>
          <cell r="L11">
            <v>59.05</v>
          </cell>
          <cell r="M11">
            <v>59.16</v>
          </cell>
          <cell r="N11">
            <v>59.62</v>
          </cell>
          <cell r="O11">
            <v>58.73</v>
          </cell>
          <cell r="P11">
            <v>59.21</v>
          </cell>
          <cell r="Q11">
            <v>59.43</v>
          </cell>
          <cell r="R11">
            <v>59.36</v>
          </cell>
          <cell r="S11">
            <v>59.35</v>
          </cell>
          <cell r="T11">
            <v>59.22</v>
          </cell>
          <cell r="U11">
            <v>59.57</v>
          </cell>
          <cell r="V11">
            <v>58.63</v>
          </cell>
          <cell r="W11">
            <v>59.26</v>
          </cell>
          <cell r="X11">
            <v>59.28</v>
          </cell>
          <cell r="Y11">
            <v>59.24</v>
          </cell>
          <cell r="Z11">
            <v>59.3</v>
          </cell>
          <cell r="AA11">
            <v>59.24</v>
          </cell>
          <cell r="AB11">
            <v>59.52</v>
          </cell>
          <cell r="AC11">
            <v>58.7</v>
          </cell>
          <cell r="AD11">
            <v>59.21</v>
          </cell>
          <cell r="AE11">
            <v>59.21</v>
          </cell>
          <cell r="AF11">
            <v>59.24</v>
          </cell>
        </row>
        <row r="12">
          <cell r="B12">
            <v>188.71</v>
          </cell>
          <cell r="C12">
            <v>189.02</v>
          </cell>
          <cell r="D12">
            <v>189.14</v>
          </cell>
          <cell r="E12">
            <v>188.99</v>
          </cell>
          <cell r="F12">
            <v>189.23</v>
          </cell>
          <cell r="G12">
            <v>187.77</v>
          </cell>
          <cell r="H12">
            <v>187.12</v>
          </cell>
          <cell r="I12">
            <v>188.98</v>
          </cell>
          <cell r="J12">
            <v>189.23</v>
          </cell>
          <cell r="K12">
            <v>188.91</v>
          </cell>
          <cell r="L12">
            <v>188.95</v>
          </cell>
          <cell r="M12">
            <v>189.12</v>
          </cell>
          <cell r="N12">
            <v>187.98</v>
          </cell>
          <cell r="O12">
            <v>187.34</v>
          </cell>
          <cell r="P12">
            <v>189.76</v>
          </cell>
          <cell r="Q12">
            <v>188.26</v>
          </cell>
          <cell r="R12">
            <v>189.11</v>
          </cell>
          <cell r="S12">
            <v>188.73</v>
          </cell>
          <cell r="T12">
            <v>188.16</v>
          </cell>
          <cell r="U12">
            <v>187.14</v>
          </cell>
          <cell r="V12">
            <v>186.69</v>
          </cell>
          <cell r="W12">
            <v>188.06</v>
          </cell>
          <cell r="X12">
            <v>187.42</v>
          </cell>
          <cell r="Y12">
            <v>187.01</v>
          </cell>
          <cell r="Z12">
            <v>186.73</v>
          </cell>
          <cell r="AA12">
            <v>186.85</v>
          </cell>
          <cell r="AB12">
            <v>185.68</v>
          </cell>
          <cell r="AC12">
            <v>186.37</v>
          </cell>
          <cell r="AD12">
            <v>186.84</v>
          </cell>
          <cell r="AE12">
            <v>186.94</v>
          </cell>
          <cell r="AF12">
            <v>187.11</v>
          </cell>
        </row>
        <row r="13">
          <cell r="B13">
            <v>140.35</v>
          </cell>
          <cell r="C13">
            <v>140.54</v>
          </cell>
          <cell r="D13">
            <v>140.22</v>
          </cell>
          <cell r="E13">
            <v>140.46</v>
          </cell>
          <cell r="F13">
            <v>140.43</v>
          </cell>
          <cell r="G13">
            <v>140.33000000000001</v>
          </cell>
          <cell r="H13">
            <v>139.59</v>
          </cell>
          <cell r="I13">
            <v>139.59</v>
          </cell>
          <cell r="J13">
            <v>140.13999999999999</v>
          </cell>
          <cell r="K13">
            <v>140.47</v>
          </cell>
          <cell r="L13">
            <v>141.05000000000001</v>
          </cell>
          <cell r="M13">
            <v>140.88</v>
          </cell>
          <cell r="N13">
            <v>140.18</v>
          </cell>
          <cell r="O13">
            <v>140.19999999999999</v>
          </cell>
          <cell r="P13">
            <v>140.82</v>
          </cell>
          <cell r="Q13">
            <v>141.19999999999999</v>
          </cell>
          <cell r="R13">
            <v>141.27000000000001</v>
          </cell>
          <cell r="S13">
            <v>141.19999999999999</v>
          </cell>
          <cell r="T13">
            <v>141.02000000000001</v>
          </cell>
          <cell r="U13">
            <v>140.61000000000001</v>
          </cell>
          <cell r="V13">
            <v>140.38999999999999</v>
          </cell>
          <cell r="W13">
            <v>140.82</v>
          </cell>
          <cell r="X13">
            <v>140.81</v>
          </cell>
          <cell r="Y13">
            <v>140.84</v>
          </cell>
          <cell r="Z13">
            <v>140.41</v>
          </cell>
          <cell r="AA13">
            <v>141.16</v>
          </cell>
          <cell r="AB13">
            <v>140.58000000000001</v>
          </cell>
          <cell r="AC13">
            <v>139.9</v>
          </cell>
          <cell r="AD13">
            <v>140.78</v>
          </cell>
          <cell r="AE13">
            <v>140.66999999999999</v>
          </cell>
          <cell r="AF13">
            <v>140.41999999999999</v>
          </cell>
        </row>
        <row r="14">
          <cell r="B14">
            <v>126.68</v>
          </cell>
          <cell r="C14">
            <v>126.72</v>
          </cell>
          <cell r="D14">
            <v>127.06</v>
          </cell>
          <cell r="E14">
            <v>126.97</v>
          </cell>
          <cell r="F14">
            <v>126.65</v>
          </cell>
          <cell r="G14">
            <v>126.32</v>
          </cell>
          <cell r="H14">
            <v>124.28</v>
          </cell>
          <cell r="I14">
            <v>126.68</v>
          </cell>
          <cell r="J14">
            <v>126.65</v>
          </cell>
          <cell r="K14">
            <v>126.36</v>
          </cell>
          <cell r="L14">
            <v>126.47</v>
          </cell>
          <cell r="M14">
            <v>126.43</v>
          </cell>
          <cell r="N14">
            <v>125.17</v>
          </cell>
          <cell r="O14">
            <v>124.2</v>
          </cell>
          <cell r="P14">
            <v>126.52</v>
          </cell>
          <cell r="Q14">
            <v>126.04</v>
          </cell>
          <cell r="R14">
            <v>126.63</v>
          </cell>
          <cell r="S14">
            <v>126.56</v>
          </cell>
          <cell r="T14">
            <v>126.12</v>
          </cell>
          <cell r="U14">
            <v>125.56</v>
          </cell>
          <cell r="V14">
            <v>124.11</v>
          </cell>
          <cell r="W14">
            <v>125.85</v>
          </cell>
          <cell r="X14">
            <v>125.42</v>
          </cell>
          <cell r="Y14">
            <v>125.47</v>
          </cell>
          <cell r="Z14">
            <v>125.35</v>
          </cell>
          <cell r="AA14">
            <v>124.8</v>
          </cell>
          <cell r="AB14">
            <v>124.54</v>
          </cell>
          <cell r="AC14">
            <v>122.86</v>
          </cell>
          <cell r="AD14">
            <v>124.76</v>
          </cell>
          <cell r="AE14">
            <v>124.54</v>
          </cell>
          <cell r="AF14">
            <v>124.78</v>
          </cell>
        </row>
        <row r="15">
          <cell r="B15">
            <v>123.77</v>
          </cell>
          <cell r="C15">
            <v>124.01</v>
          </cell>
          <cell r="D15">
            <v>123.97</v>
          </cell>
          <cell r="E15">
            <v>123.67</v>
          </cell>
          <cell r="F15">
            <v>123.28</v>
          </cell>
          <cell r="G15">
            <v>121.42</v>
          </cell>
          <cell r="H15">
            <v>120.6</v>
          </cell>
          <cell r="I15">
            <v>123.23</v>
          </cell>
          <cell r="J15">
            <v>123.43</v>
          </cell>
          <cell r="K15">
            <v>123.23</v>
          </cell>
          <cell r="L15">
            <v>123.35</v>
          </cell>
          <cell r="M15">
            <v>123.36</v>
          </cell>
          <cell r="N15">
            <v>121.22</v>
          </cell>
          <cell r="O15">
            <v>120.68</v>
          </cell>
          <cell r="P15">
            <v>123.55</v>
          </cell>
          <cell r="Q15">
            <v>123.41</v>
          </cell>
          <cell r="R15">
            <v>123.41</v>
          </cell>
          <cell r="S15">
            <v>123.11</v>
          </cell>
          <cell r="T15">
            <v>123.14</v>
          </cell>
          <cell r="U15">
            <v>121.66</v>
          </cell>
          <cell r="V15">
            <v>120.74</v>
          </cell>
          <cell r="W15">
            <v>122.88</v>
          </cell>
          <cell r="X15">
            <v>122.36</v>
          </cell>
          <cell r="Y15">
            <v>122.24</v>
          </cell>
          <cell r="Z15">
            <v>121.87</v>
          </cell>
          <cell r="AA15">
            <v>122.07</v>
          </cell>
          <cell r="AB15">
            <v>120.33</v>
          </cell>
          <cell r="AC15">
            <v>119.29</v>
          </cell>
          <cell r="AD15">
            <v>121.78</v>
          </cell>
          <cell r="AE15">
            <v>121.44</v>
          </cell>
          <cell r="AF15">
            <v>121.49</v>
          </cell>
        </row>
        <row r="16">
          <cell r="B16">
            <v>123.4</v>
          </cell>
          <cell r="C16">
            <v>123.49</v>
          </cell>
          <cell r="D16">
            <v>123.66</v>
          </cell>
          <cell r="E16">
            <v>123.52</v>
          </cell>
          <cell r="F16">
            <v>123.66</v>
          </cell>
          <cell r="G16">
            <v>122.99</v>
          </cell>
          <cell r="H16">
            <v>122.92</v>
          </cell>
          <cell r="I16">
            <v>123.92</v>
          </cell>
          <cell r="J16">
            <v>123.57</v>
          </cell>
          <cell r="K16">
            <v>122.97</v>
          </cell>
          <cell r="L16">
            <v>123.27</v>
          </cell>
          <cell r="M16">
            <v>123.39</v>
          </cell>
          <cell r="N16">
            <v>123.42</v>
          </cell>
          <cell r="O16">
            <v>122.25</v>
          </cell>
          <cell r="P16">
            <v>123.38</v>
          </cell>
          <cell r="Q16">
            <v>123.09</v>
          </cell>
          <cell r="R16">
            <v>123.15</v>
          </cell>
          <cell r="S16">
            <v>123.04</v>
          </cell>
          <cell r="T16">
            <v>122.62</v>
          </cell>
          <cell r="U16">
            <v>122.1</v>
          </cell>
          <cell r="V16">
            <v>121.59</v>
          </cell>
          <cell r="W16">
            <v>121.94</v>
          </cell>
          <cell r="X16">
            <v>121.81</v>
          </cell>
          <cell r="Y16">
            <v>121.54</v>
          </cell>
          <cell r="Z16">
            <v>121.54</v>
          </cell>
          <cell r="AA16">
            <v>121.3</v>
          </cell>
          <cell r="AB16">
            <v>121.33</v>
          </cell>
          <cell r="AC16">
            <v>119.5</v>
          </cell>
          <cell r="AD16">
            <v>121.29</v>
          </cell>
          <cell r="AE16">
            <v>121.37</v>
          </cell>
          <cell r="AF16">
            <v>121.3</v>
          </cell>
        </row>
        <row r="17">
          <cell r="B17">
            <v>100.44</v>
          </cell>
          <cell r="C17">
            <v>100.55</v>
          </cell>
          <cell r="D17">
            <v>100.43</v>
          </cell>
          <cell r="E17">
            <v>100.38</v>
          </cell>
          <cell r="F17">
            <v>100.51</v>
          </cell>
          <cell r="G17">
            <v>100.54</v>
          </cell>
          <cell r="H17">
            <v>100.14</v>
          </cell>
          <cell r="I17">
            <v>100.82</v>
          </cell>
          <cell r="J17">
            <v>100.6</v>
          </cell>
          <cell r="K17">
            <v>100.43</v>
          </cell>
          <cell r="L17">
            <v>100.51</v>
          </cell>
          <cell r="M17">
            <v>100.4</v>
          </cell>
          <cell r="N17">
            <v>100.35</v>
          </cell>
          <cell r="O17">
            <v>99.88</v>
          </cell>
          <cell r="P17">
            <v>100.55</v>
          </cell>
          <cell r="Q17">
            <v>100.07</v>
          </cell>
          <cell r="R17">
            <v>100.34</v>
          </cell>
          <cell r="S17">
            <v>100.07</v>
          </cell>
          <cell r="T17">
            <v>99.86</v>
          </cell>
          <cell r="U17">
            <v>99.67</v>
          </cell>
          <cell r="V17">
            <v>98.96</v>
          </cell>
          <cell r="W17">
            <v>99.81</v>
          </cell>
          <cell r="X17">
            <v>99.66</v>
          </cell>
          <cell r="Y17">
            <v>99.59</v>
          </cell>
          <cell r="Z17">
            <v>99.42</v>
          </cell>
          <cell r="AA17">
            <v>99.23</v>
          </cell>
          <cell r="AB17">
            <v>99.65</v>
          </cell>
          <cell r="AC17">
            <v>98.3</v>
          </cell>
          <cell r="AD17">
            <v>99.31</v>
          </cell>
          <cell r="AE17">
            <v>99.34</v>
          </cell>
          <cell r="AF17">
            <v>99.26</v>
          </cell>
        </row>
        <row r="18">
          <cell r="B18">
            <v>54.63</v>
          </cell>
          <cell r="C18">
            <v>54.68</v>
          </cell>
          <cell r="D18">
            <v>54.67</v>
          </cell>
          <cell r="E18">
            <v>54.49</v>
          </cell>
          <cell r="F18">
            <v>54.82</v>
          </cell>
          <cell r="G18">
            <v>54.33</v>
          </cell>
          <cell r="H18">
            <v>52.66</v>
          </cell>
          <cell r="I18">
            <v>55.08</v>
          </cell>
          <cell r="J18">
            <v>55.11</v>
          </cell>
          <cell r="K18">
            <v>54.95</v>
          </cell>
          <cell r="L18">
            <v>55.02</v>
          </cell>
          <cell r="M18">
            <v>54.92</v>
          </cell>
          <cell r="N18">
            <v>54.3</v>
          </cell>
          <cell r="O18">
            <v>53.44</v>
          </cell>
          <cell r="P18">
            <v>55.26</v>
          </cell>
          <cell r="Q18">
            <v>55.22</v>
          </cell>
          <cell r="R18">
            <v>55.35</v>
          </cell>
          <cell r="S18">
            <v>55.34</v>
          </cell>
          <cell r="T18">
            <v>54.98</v>
          </cell>
          <cell r="U18">
            <v>54.54</v>
          </cell>
          <cell r="V18">
            <v>53.69</v>
          </cell>
          <cell r="W18">
            <v>55.4</v>
          </cell>
          <cell r="X18">
            <v>55.38</v>
          </cell>
          <cell r="Y18">
            <v>55.48</v>
          </cell>
          <cell r="Z18">
            <v>55.48</v>
          </cell>
          <cell r="AA18">
            <v>55.51</v>
          </cell>
          <cell r="AB18">
            <v>54.5</v>
          </cell>
          <cell r="AC18">
            <v>53.48</v>
          </cell>
          <cell r="AD18">
            <v>55.14</v>
          </cell>
          <cell r="AE18">
            <v>55.12</v>
          </cell>
          <cell r="AF18">
            <v>54.94</v>
          </cell>
        </row>
        <row r="19">
          <cell r="B19">
            <v>280.64999999999998</v>
          </cell>
          <cell r="C19">
            <v>281.49</v>
          </cell>
          <cell r="D19">
            <v>279.86</v>
          </cell>
          <cell r="E19">
            <v>281.38</v>
          </cell>
          <cell r="F19">
            <v>279.86</v>
          </cell>
          <cell r="G19">
            <v>275.76</v>
          </cell>
          <cell r="H19">
            <v>271.8</v>
          </cell>
          <cell r="I19">
            <v>279.70999999999998</v>
          </cell>
          <cell r="J19">
            <v>280.39999999999998</v>
          </cell>
          <cell r="K19">
            <v>280.66000000000003</v>
          </cell>
          <cell r="L19">
            <v>278.57</v>
          </cell>
          <cell r="M19">
            <v>277.88</v>
          </cell>
          <cell r="N19">
            <v>273.05</v>
          </cell>
          <cell r="O19">
            <v>270.18</v>
          </cell>
          <cell r="P19">
            <v>279.52</v>
          </cell>
          <cell r="Q19">
            <v>280.01</v>
          </cell>
          <cell r="R19">
            <v>279.51</v>
          </cell>
          <cell r="S19">
            <v>278.01</v>
          </cell>
          <cell r="T19">
            <v>278.44</v>
          </cell>
          <cell r="U19">
            <v>273.02999999999997</v>
          </cell>
          <cell r="V19">
            <v>268.07</v>
          </cell>
          <cell r="W19">
            <v>278.39</v>
          </cell>
          <cell r="X19">
            <v>276.04000000000002</v>
          </cell>
          <cell r="Y19">
            <v>275.45</v>
          </cell>
          <cell r="Z19">
            <v>274.52999999999997</v>
          </cell>
          <cell r="AA19">
            <v>275.14999999999998</v>
          </cell>
          <cell r="AB19">
            <v>267.22000000000003</v>
          </cell>
          <cell r="AC19">
            <v>261.32</v>
          </cell>
          <cell r="AD19">
            <v>271.39999999999998</v>
          </cell>
          <cell r="AE19">
            <v>273.68</v>
          </cell>
          <cell r="AF19">
            <v>273.02999999999997</v>
          </cell>
        </row>
        <row r="20">
          <cell r="B20">
            <v>22.37</v>
          </cell>
          <cell r="C20">
            <v>22.48</v>
          </cell>
          <cell r="D20">
            <v>22.44</v>
          </cell>
          <cell r="E20">
            <v>22.48</v>
          </cell>
          <cell r="F20">
            <v>22.44</v>
          </cell>
          <cell r="G20">
            <v>22.27</v>
          </cell>
          <cell r="H20">
            <v>23.09</v>
          </cell>
          <cell r="I20">
            <v>22.32</v>
          </cell>
          <cell r="J20">
            <v>22.36</v>
          </cell>
          <cell r="K20">
            <v>22.38</v>
          </cell>
          <cell r="L20">
            <v>22.57</v>
          </cell>
          <cell r="M20">
            <v>22.52</v>
          </cell>
          <cell r="N20">
            <v>22.67</v>
          </cell>
          <cell r="O20">
            <v>22.95</v>
          </cell>
          <cell r="P20">
            <v>22.51</v>
          </cell>
          <cell r="Q20">
            <v>22.77</v>
          </cell>
          <cell r="R20">
            <v>22.52</v>
          </cell>
          <cell r="S20">
            <v>22.44</v>
          </cell>
          <cell r="T20">
            <v>22.47</v>
          </cell>
          <cell r="U20">
            <v>22.39</v>
          </cell>
          <cell r="V20">
            <v>23.01</v>
          </cell>
          <cell r="W20">
            <v>22.46</v>
          </cell>
          <cell r="X20">
            <v>22.39</v>
          </cell>
          <cell r="Y20">
            <v>22.44</v>
          </cell>
          <cell r="Z20">
            <v>22.34</v>
          </cell>
          <cell r="AA20">
            <v>22.34</v>
          </cell>
          <cell r="AB20">
            <v>22.29</v>
          </cell>
          <cell r="AC20">
            <v>22.79</v>
          </cell>
          <cell r="AD20">
            <v>22.26</v>
          </cell>
          <cell r="AE20">
            <v>22.32</v>
          </cell>
          <cell r="AF20">
            <v>22.37</v>
          </cell>
        </row>
        <row r="21">
          <cell r="B21">
            <v>33.979999999999997</v>
          </cell>
          <cell r="C21">
            <v>34.4</v>
          </cell>
          <cell r="D21">
            <v>34.65</v>
          </cell>
          <cell r="E21">
            <v>35.01</v>
          </cell>
          <cell r="F21">
            <v>35.340000000000003</v>
          </cell>
          <cell r="G21">
            <v>35.4</v>
          </cell>
          <cell r="H21">
            <v>35.49</v>
          </cell>
          <cell r="I21">
            <v>35.880000000000003</v>
          </cell>
          <cell r="J21">
            <v>36.08</v>
          </cell>
          <cell r="K21">
            <v>36.450000000000003</v>
          </cell>
          <cell r="L21">
            <v>36.71</v>
          </cell>
          <cell r="M21">
            <v>36.799999999999997</v>
          </cell>
          <cell r="N21">
            <v>36.229999999999997</v>
          </cell>
          <cell r="O21">
            <v>36.81</v>
          </cell>
          <cell r="P21">
            <v>37.14</v>
          </cell>
          <cell r="Q21">
            <v>36.72</v>
          </cell>
          <cell r="R21">
            <v>37.06</v>
          </cell>
          <cell r="S21">
            <v>37.14</v>
          </cell>
          <cell r="T21">
            <v>37.22</v>
          </cell>
          <cell r="U21">
            <v>37.18</v>
          </cell>
          <cell r="V21">
            <v>37.17</v>
          </cell>
          <cell r="W21">
            <v>37.56</v>
          </cell>
          <cell r="X21">
            <v>37.83</v>
          </cell>
          <cell r="Y21">
            <v>37.76</v>
          </cell>
          <cell r="Z21">
            <v>37.799999999999997</v>
          </cell>
          <cell r="AA21">
            <v>38</v>
          </cell>
          <cell r="AB21">
            <v>37.72</v>
          </cell>
          <cell r="AC21">
            <v>37.15</v>
          </cell>
          <cell r="AD21">
            <v>37.78</v>
          </cell>
          <cell r="AE21">
            <v>37.78</v>
          </cell>
          <cell r="AF21">
            <v>37.96</v>
          </cell>
        </row>
        <row r="22">
          <cell r="B22">
            <v>41.92</v>
          </cell>
          <cell r="C22">
            <v>42.21</v>
          </cell>
          <cell r="D22">
            <v>42.46</v>
          </cell>
          <cell r="E22">
            <v>42.63</v>
          </cell>
          <cell r="F22">
            <v>43.01</v>
          </cell>
          <cell r="G22">
            <v>43.29</v>
          </cell>
          <cell r="H22">
            <v>42.97</v>
          </cell>
          <cell r="I22">
            <v>43.62</v>
          </cell>
          <cell r="J22">
            <v>43.88</v>
          </cell>
          <cell r="K22">
            <v>44.15</v>
          </cell>
          <cell r="L22">
            <v>44.19</v>
          </cell>
          <cell r="M22">
            <v>44.29</v>
          </cell>
          <cell r="N22">
            <v>44.47</v>
          </cell>
          <cell r="O22">
            <v>44.09</v>
          </cell>
          <cell r="P22">
            <v>44.67</v>
          </cell>
          <cell r="Q22">
            <v>44.34</v>
          </cell>
          <cell r="R22">
            <v>44.34</v>
          </cell>
          <cell r="S22">
            <v>44.28</v>
          </cell>
          <cell r="T22">
            <v>44.15</v>
          </cell>
          <cell r="U22">
            <v>44.15</v>
          </cell>
          <cell r="V22">
            <v>43.5</v>
          </cell>
          <cell r="W22">
            <v>44.25</v>
          </cell>
          <cell r="X22">
            <v>44.26</v>
          </cell>
          <cell r="Y22">
            <v>44.14</v>
          </cell>
          <cell r="Z22">
            <v>44.02</v>
          </cell>
          <cell r="AA22">
            <v>43.98</v>
          </cell>
          <cell r="AB22">
            <v>43.87</v>
          </cell>
          <cell r="AC22">
            <v>42.87</v>
          </cell>
          <cell r="AD22">
            <v>43.8</v>
          </cell>
          <cell r="AE22">
            <v>43.68</v>
          </cell>
          <cell r="AF22">
            <v>43.58</v>
          </cell>
        </row>
        <row r="23">
          <cell r="B23">
            <v>53.36</v>
          </cell>
          <cell r="C23">
            <v>54.42</v>
          </cell>
          <cell r="D23">
            <v>55.04</v>
          </cell>
          <cell r="E23">
            <v>57.11</v>
          </cell>
          <cell r="F23">
            <v>58.25</v>
          </cell>
          <cell r="G23">
            <v>59.94</v>
          </cell>
          <cell r="H23">
            <v>60.01</v>
          </cell>
          <cell r="I23">
            <v>62.06</v>
          </cell>
          <cell r="J23">
            <v>62.45</v>
          </cell>
          <cell r="K23">
            <v>63.63</v>
          </cell>
          <cell r="L23">
            <v>64.349999999999994</v>
          </cell>
          <cell r="M23">
            <v>65.209999999999994</v>
          </cell>
          <cell r="N23">
            <v>67.989999999999995</v>
          </cell>
          <cell r="O23">
            <v>67.709999999999994</v>
          </cell>
          <cell r="P23">
            <v>68.52</v>
          </cell>
          <cell r="Q23">
            <v>69.86</v>
          </cell>
          <cell r="R23">
            <v>70.62</v>
          </cell>
          <cell r="S23">
            <v>72.03</v>
          </cell>
          <cell r="T23">
            <v>72.69</v>
          </cell>
          <cell r="U23">
            <v>74.209999999999994</v>
          </cell>
          <cell r="V23">
            <v>74.239999999999995</v>
          </cell>
          <cell r="W23">
            <v>73.290000000000006</v>
          </cell>
          <cell r="X23">
            <v>73.19</v>
          </cell>
          <cell r="Y23">
            <v>72.28</v>
          </cell>
          <cell r="Z23">
            <v>71.2</v>
          </cell>
          <cell r="AA23">
            <v>69.739999999999995</v>
          </cell>
          <cell r="AB23">
            <v>69</v>
          </cell>
          <cell r="AC23">
            <v>66.61</v>
          </cell>
          <cell r="AD23">
            <v>64.77</v>
          </cell>
          <cell r="AE23">
            <v>63.27</v>
          </cell>
          <cell r="AF23">
            <v>61.74</v>
          </cell>
        </row>
      </sheetData>
      <sheetData sheetId="13">
        <row r="2">
          <cell r="B2">
            <v>42.68</v>
          </cell>
          <cell r="C2">
            <v>42.61</v>
          </cell>
          <cell r="D2">
            <v>42.75</v>
          </cell>
          <cell r="E2">
            <v>42.72</v>
          </cell>
          <cell r="F2">
            <v>42.27</v>
          </cell>
          <cell r="G2">
            <v>41.81</v>
          </cell>
          <cell r="H2">
            <v>42.57</v>
          </cell>
          <cell r="I2">
            <v>42.7</v>
          </cell>
          <cell r="J2">
            <v>42.55</v>
          </cell>
          <cell r="K2">
            <v>42.82</v>
          </cell>
          <cell r="L2">
            <v>42.75</v>
          </cell>
          <cell r="M2">
            <v>41.98</v>
          </cell>
          <cell r="N2">
            <v>41.72</v>
          </cell>
          <cell r="O2">
            <v>42.84</v>
          </cell>
          <cell r="P2">
            <v>42.8</v>
          </cell>
          <cell r="Q2">
            <v>42.76</v>
          </cell>
          <cell r="R2">
            <v>42.9</v>
          </cell>
          <cell r="S2">
            <v>42.74</v>
          </cell>
          <cell r="T2">
            <v>42.47</v>
          </cell>
          <cell r="U2">
            <v>41.59</v>
          </cell>
          <cell r="V2">
            <v>42.62</v>
          </cell>
          <cell r="W2">
            <v>42.61</v>
          </cell>
          <cell r="X2">
            <v>42.66</v>
          </cell>
          <cell r="Y2">
            <v>42.59</v>
          </cell>
          <cell r="Z2">
            <v>42.91</v>
          </cell>
          <cell r="AA2">
            <v>42.32</v>
          </cell>
          <cell r="AB2">
            <v>41.77</v>
          </cell>
          <cell r="AC2">
            <v>42.68</v>
          </cell>
          <cell r="AD2">
            <v>42.9</v>
          </cell>
          <cell r="AE2">
            <v>42.82</v>
          </cell>
          <cell r="AF2">
            <v>41.97</v>
          </cell>
        </row>
        <row r="3">
          <cell r="B3">
            <v>31.28</v>
          </cell>
          <cell r="C3">
            <v>31.18</v>
          </cell>
          <cell r="D3">
            <v>31.3</v>
          </cell>
          <cell r="E3">
            <v>31.31</v>
          </cell>
          <cell r="F3">
            <v>31.14</v>
          </cell>
          <cell r="G3">
            <v>31.38</v>
          </cell>
          <cell r="H3">
            <v>31.25</v>
          </cell>
          <cell r="I3">
            <v>31.28</v>
          </cell>
          <cell r="J3">
            <v>31.23</v>
          </cell>
          <cell r="K3">
            <v>31.23</v>
          </cell>
          <cell r="L3">
            <v>31.3</v>
          </cell>
          <cell r="M3">
            <v>31.35</v>
          </cell>
          <cell r="N3">
            <v>31.2</v>
          </cell>
          <cell r="O3">
            <v>31.31</v>
          </cell>
          <cell r="P3">
            <v>31.25</v>
          </cell>
          <cell r="Q3">
            <v>31.28</v>
          </cell>
          <cell r="R3">
            <v>31.26</v>
          </cell>
          <cell r="S3">
            <v>31.26</v>
          </cell>
          <cell r="T3">
            <v>31.44</v>
          </cell>
          <cell r="U3">
            <v>31.33</v>
          </cell>
          <cell r="V3">
            <v>31.26</v>
          </cell>
          <cell r="W3">
            <v>31.34</v>
          </cell>
          <cell r="X3">
            <v>31.54</v>
          </cell>
          <cell r="Y3">
            <v>31.34</v>
          </cell>
          <cell r="Z3">
            <v>31.4</v>
          </cell>
          <cell r="AA3">
            <v>31.33</v>
          </cell>
          <cell r="AB3">
            <v>31.44</v>
          </cell>
          <cell r="AC3">
            <v>31.4</v>
          </cell>
          <cell r="AD3">
            <v>31.42</v>
          </cell>
          <cell r="AE3">
            <v>31.37</v>
          </cell>
          <cell r="AF3">
            <v>31.64</v>
          </cell>
        </row>
        <row r="4">
          <cell r="B4">
            <v>36.659999999999997</v>
          </cell>
          <cell r="C4">
            <v>36.619999999999997</v>
          </cell>
          <cell r="D4">
            <v>36.659999999999997</v>
          </cell>
          <cell r="E4">
            <v>36.68</v>
          </cell>
          <cell r="F4">
            <v>36.64</v>
          </cell>
          <cell r="G4">
            <v>37.06</v>
          </cell>
          <cell r="H4">
            <v>36.659999999999997</v>
          </cell>
          <cell r="I4">
            <v>36.67</v>
          </cell>
          <cell r="J4">
            <v>36.619999999999997</v>
          </cell>
          <cell r="K4">
            <v>36.64</v>
          </cell>
          <cell r="L4">
            <v>36.64</v>
          </cell>
          <cell r="M4">
            <v>36.880000000000003</v>
          </cell>
          <cell r="N4">
            <v>36.65</v>
          </cell>
          <cell r="O4">
            <v>36.700000000000003</v>
          </cell>
          <cell r="P4">
            <v>36.68</v>
          </cell>
          <cell r="Q4">
            <v>36.729999999999997</v>
          </cell>
          <cell r="R4">
            <v>36.67</v>
          </cell>
          <cell r="S4">
            <v>36.61</v>
          </cell>
          <cell r="T4">
            <v>36.78</v>
          </cell>
          <cell r="U4">
            <v>36.840000000000003</v>
          </cell>
          <cell r="V4">
            <v>36.619999999999997</v>
          </cell>
          <cell r="W4">
            <v>36.729999999999997</v>
          </cell>
          <cell r="X4">
            <v>36.799999999999997</v>
          </cell>
          <cell r="Y4">
            <v>36.75</v>
          </cell>
          <cell r="Z4">
            <v>36.729999999999997</v>
          </cell>
          <cell r="AA4">
            <v>36.75</v>
          </cell>
          <cell r="AB4">
            <v>36.93</v>
          </cell>
          <cell r="AC4">
            <v>36.76</v>
          </cell>
          <cell r="AD4">
            <v>36.79</v>
          </cell>
          <cell r="AE4">
            <v>36.75</v>
          </cell>
          <cell r="AF4">
            <v>36.89</v>
          </cell>
        </row>
        <row r="5">
          <cell r="B5">
            <v>86.11</v>
          </cell>
          <cell r="C5">
            <v>86.13</v>
          </cell>
          <cell r="D5">
            <v>86.31</v>
          </cell>
          <cell r="E5">
            <v>86.19</v>
          </cell>
          <cell r="F5">
            <v>85.85</v>
          </cell>
          <cell r="G5">
            <v>84.29</v>
          </cell>
          <cell r="H5">
            <v>86</v>
          </cell>
          <cell r="I5">
            <v>86.17</v>
          </cell>
          <cell r="J5">
            <v>85.5</v>
          </cell>
          <cell r="K5">
            <v>86.06</v>
          </cell>
          <cell r="L5">
            <v>86.1</v>
          </cell>
          <cell r="M5">
            <v>85.45</v>
          </cell>
          <cell r="N5">
            <v>84.09</v>
          </cell>
          <cell r="O5">
            <v>86</v>
          </cell>
          <cell r="P5">
            <v>86.05</v>
          </cell>
          <cell r="Q5">
            <v>86.03</v>
          </cell>
          <cell r="R5">
            <v>86.21</v>
          </cell>
          <cell r="S5">
            <v>86.19</v>
          </cell>
          <cell r="T5">
            <v>86.08</v>
          </cell>
          <cell r="U5">
            <v>84.47</v>
          </cell>
          <cell r="V5">
            <v>86.23</v>
          </cell>
          <cell r="W5">
            <v>85.93</v>
          </cell>
          <cell r="X5">
            <v>86.93</v>
          </cell>
          <cell r="Y5">
            <v>86.15</v>
          </cell>
          <cell r="Z5">
            <v>86.56</v>
          </cell>
          <cell r="AA5">
            <v>86.38</v>
          </cell>
          <cell r="AB5">
            <v>85.05</v>
          </cell>
          <cell r="AC5">
            <v>86.71</v>
          </cell>
          <cell r="AD5">
            <v>86.93</v>
          </cell>
          <cell r="AE5">
            <v>86.95</v>
          </cell>
          <cell r="AF5">
            <v>85.7</v>
          </cell>
        </row>
        <row r="6">
          <cell r="B6">
            <v>121.67</v>
          </cell>
          <cell r="C6">
            <v>121.81</v>
          </cell>
          <cell r="D6">
            <v>121.69</v>
          </cell>
          <cell r="E6">
            <v>121.61</v>
          </cell>
          <cell r="F6">
            <v>119.92</v>
          </cell>
          <cell r="G6">
            <v>118.49</v>
          </cell>
          <cell r="H6">
            <v>121.14</v>
          </cell>
          <cell r="I6">
            <v>121.39</v>
          </cell>
          <cell r="J6">
            <v>120.74</v>
          </cell>
          <cell r="K6">
            <v>120.82</v>
          </cell>
          <cell r="L6">
            <v>120.43</v>
          </cell>
          <cell r="M6">
            <v>119.57</v>
          </cell>
          <cell r="N6">
            <v>117.45</v>
          </cell>
          <cell r="O6">
            <v>120.37</v>
          </cell>
          <cell r="P6">
            <v>120.37</v>
          </cell>
          <cell r="Q6">
            <v>119.94</v>
          </cell>
          <cell r="R6">
            <v>120.36</v>
          </cell>
          <cell r="S6">
            <v>120.38</v>
          </cell>
          <cell r="T6">
            <v>119.13</v>
          </cell>
          <cell r="U6">
            <v>117.45</v>
          </cell>
          <cell r="V6">
            <v>120.29</v>
          </cell>
          <cell r="W6">
            <v>119.66</v>
          </cell>
          <cell r="X6">
            <v>116.48</v>
          </cell>
          <cell r="Y6">
            <v>119.74</v>
          </cell>
          <cell r="Z6">
            <v>119.76</v>
          </cell>
          <cell r="AA6">
            <v>118.67</v>
          </cell>
          <cell r="AB6">
            <v>117.47</v>
          </cell>
          <cell r="AC6">
            <v>119.54</v>
          </cell>
          <cell r="AD6">
            <v>119.5</v>
          </cell>
          <cell r="AE6">
            <v>119.36</v>
          </cell>
          <cell r="AF6">
            <v>114.55</v>
          </cell>
        </row>
        <row r="7">
          <cell r="B7">
            <v>115.77</v>
          </cell>
          <cell r="C7">
            <v>115.77</v>
          </cell>
          <cell r="D7">
            <v>115.76</v>
          </cell>
          <cell r="E7">
            <v>115.74</v>
          </cell>
          <cell r="F7">
            <v>115.32</v>
          </cell>
          <cell r="G7">
            <v>114.81</v>
          </cell>
          <cell r="H7">
            <v>115.38</v>
          </cell>
          <cell r="I7">
            <v>115.6</v>
          </cell>
          <cell r="J7">
            <v>115.15</v>
          </cell>
          <cell r="K7">
            <v>115.43</v>
          </cell>
          <cell r="L7">
            <v>115.29</v>
          </cell>
          <cell r="M7">
            <v>114.89</v>
          </cell>
          <cell r="N7">
            <v>114.15</v>
          </cell>
          <cell r="O7">
            <v>115.34</v>
          </cell>
          <cell r="P7">
            <v>115.41</v>
          </cell>
          <cell r="Q7">
            <v>115.19</v>
          </cell>
          <cell r="R7">
            <v>115.54</v>
          </cell>
          <cell r="S7">
            <v>115.33</v>
          </cell>
          <cell r="T7">
            <v>114.85</v>
          </cell>
          <cell r="U7">
            <v>114.44</v>
          </cell>
          <cell r="V7">
            <v>115.27</v>
          </cell>
          <cell r="W7">
            <v>114.79</v>
          </cell>
          <cell r="X7">
            <v>113.98</v>
          </cell>
          <cell r="Y7">
            <v>114.8</v>
          </cell>
          <cell r="Z7">
            <v>115.15</v>
          </cell>
          <cell r="AA7">
            <v>114.52</v>
          </cell>
          <cell r="AB7">
            <v>114.15</v>
          </cell>
          <cell r="AC7">
            <v>114.85</v>
          </cell>
          <cell r="AD7">
            <v>114.96</v>
          </cell>
          <cell r="AE7">
            <v>114.95</v>
          </cell>
          <cell r="AF7">
            <v>113.72</v>
          </cell>
        </row>
        <row r="8">
          <cell r="B8">
            <v>110.87</v>
          </cell>
          <cell r="C8">
            <v>110.78</v>
          </cell>
          <cell r="D8">
            <v>110.83</v>
          </cell>
          <cell r="E8">
            <v>110.81</v>
          </cell>
          <cell r="F8">
            <v>110.65</v>
          </cell>
          <cell r="G8">
            <v>109.51</v>
          </cell>
          <cell r="H8">
            <v>110.71</v>
          </cell>
          <cell r="I8">
            <v>110.87</v>
          </cell>
          <cell r="J8">
            <v>110.25</v>
          </cell>
          <cell r="K8">
            <v>110.9</v>
          </cell>
          <cell r="L8">
            <v>110.81</v>
          </cell>
          <cell r="M8">
            <v>110.52</v>
          </cell>
          <cell r="N8">
            <v>109.29</v>
          </cell>
          <cell r="O8">
            <v>110.75</v>
          </cell>
          <cell r="P8">
            <v>110.74</v>
          </cell>
          <cell r="Q8">
            <v>110.86</v>
          </cell>
          <cell r="R8">
            <v>110.94</v>
          </cell>
          <cell r="S8">
            <v>110.77</v>
          </cell>
          <cell r="T8">
            <v>110.74</v>
          </cell>
          <cell r="U8">
            <v>109.28</v>
          </cell>
          <cell r="V8">
            <v>110.75</v>
          </cell>
          <cell r="W8">
            <v>110.14</v>
          </cell>
          <cell r="X8">
            <v>110.62</v>
          </cell>
          <cell r="Y8">
            <v>110.2</v>
          </cell>
          <cell r="Z8">
            <v>110.76</v>
          </cell>
          <cell r="AA8">
            <v>110.76</v>
          </cell>
          <cell r="AB8">
            <v>109.51</v>
          </cell>
          <cell r="AC8">
            <v>110.69</v>
          </cell>
          <cell r="AD8">
            <v>110.73</v>
          </cell>
          <cell r="AE8">
            <v>110.63</v>
          </cell>
          <cell r="AF8">
            <v>109.32</v>
          </cell>
        </row>
        <row r="9">
          <cell r="B9">
            <v>88.12</v>
          </cell>
          <cell r="C9">
            <v>88.09</v>
          </cell>
          <cell r="D9">
            <v>88.14</v>
          </cell>
          <cell r="E9">
            <v>88.24</v>
          </cell>
          <cell r="F9">
            <v>87.69</v>
          </cell>
          <cell r="G9">
            <v>86.77</v>
          </cell>
          <cell r="H9">
            <v>88.18</v>
          </cell>
          <cell r="I9">
            <v>88.25</v>
          </cell>
          <cell r="J9">
            <v>87.7</v>
          </cell>
          <cell r="K9">
            <v>88.26</v>
          </cell>
          <cell r="L9">
            <v>88.25</v>
          </cell>
          <cell r="M9">
            <v>87.77</v>
          </cell>
          <cell r="N9">
            <v>86.91</v>
          </cell>
          <cell r="O9">
            <v>88.24</v>
          </cell>
          <cell r="P9">
            <v>88.19</v>
          </cell>
          <cell r="Q9">
            <v>88.2</v>
          </cell>
          <cell r="R9">
            <v>88.58</v>
          </cell>
          <cell r="S9">
            <v>88.34</v>
          </cell>
          <cell r="T9">
            <v>88</v>
          </cell>
          <cell r="U9">
            <v>87.1</v>
          </cell>
          <cell r="V9">
            <v>88.39</v>
          </cell>
          <cell r="W9">
            <v>88.19</v>
          </cell>
          <cell r="X9">
            <v>88.82</v>
          </cell>
          <cell r="Y9">
            <v>88.2</v>
          </cell>
          <cell r="Z9">
            <v>88.57</v>
          </cell>
          <cell r="AA9">
            <v>88.14</v>
          </cell>
          <cell r="AB9">
            <v>87.32</v>
          </cell>
          <cell r="AC9">
            <v>88.41</v>
          </cell>
          <cell r="AD9">
            <v>88.76</v>
          </cell>
          <cell r="AE9">
            <v>88.77</v>
          </cell>
          <cell r="AF9">
            <v>87.79</v>
          </cell>
        </row>
        <row r="10">
          <cell r="B10">
            <v>45.99</v>
          </cell>
          <cell r="C10">
            <v>45.97</v>
          </cell>
          <cell r="D10">
            <v>45.94</v>
          </cell>
          <cell r="E10">
            <v>46</v>
          </cell>
          <cell r="F10">
            <v>45.94</v>
          </cell>
          <cell r="G10">
            <v>45.58</v>
          </cell>
          <cell r="H10">
            <v>45.86</v>
          </cell>
          <cell r="I10">
            <v>45.98</v>
          </cell>
          <cell r="J10">
            <v>45.9</v>
          </cell>
          <cell r="K10">
            <v>45.92</v>
          </cell>
          <cell r="L10">
            <v>46.03</v>
          </cell>
          <cell r="M10">
            <v>46.18</v>
          </cell>
          <cell r="N10">
            <v>45.44</v>
          </cell>
          <cell r="O10">
            <v>45.97</v>
          </cell>
          <cell r="P10">
            <v>45.96</v>
          </cell>
          <cell r="Q10">
            <v>46</v>
          </cell>
          <cell r="R10">
            <v>45.98</v>
          </cell>
          <cell r="S10">
            <v>45.95</v>
          </cell>
          <cell r="T10">
            <v>45.92</v>
          </cell>
          <cell r="U10">
            <v>45.51</v>
          </cell>
          <cell r="V10">
            <v>45.98</v>
          </cell>
          <cell r="W10">
            <v>45.99</v>
          </cell>
          <cell r="X10">
            <v>46.3</v>
          </cell>
          <cell r="Y10">
            <v>46.01</v>
          </cell>
          <cell r="Z10">
            <v>45.98</v>
          </cell>
          <cell r="AA10">
            <v>45.9</v>
          </cell>
          <cell r="AB10">
            <v>45.5</v>
          </cell>
          <cell r="AC10">
            <v>45.95</v>
          </cell>
          <cell r="AD10">
            <v>46.06</v>
          </cell>
          <cell r="AE10">
            <v>46</v>
          </cell>
          <cell r="AF10">
            <v>46.02</v>
          </cell>
        </row>
        <row r="11">
          <cell r="B11">
            <v>58.93</v>
          </cell>
          <cell r="C11">
            <v>59.02</v>
          </cell>
          <cell r="D11">
            <v>58.92</v>
          </cell>
          <cell r="E11">
            <v>58.97</v>
          </cell>
          <cell r="F11">
            <v>59.19</v>
          </cell>
          <cell r="G11">
            <v>58.24</v>
          </cell>
          <cell r="H11">
            <v>58.94</v>
          </cell>
          <cell r="I11">
            <v>59.04</v>
          </cell>
          <cell r="J11">
            <v>59.07</v>
          </cell>
          <cell r="K11">
            <v>59.12</v>
          </cell>
          <cell r="L11">
            <v>59.01</v>
          </cell>
          <cell r="M11">
            <v>59.62</v>
          </cell>
          <cell r="N11">
            <v>58.27</v>
          </cell>
          <cell r="O11">
            <v>59.1</v>
          </cell>
          <cell r="P11">
            <v>59.06</v>
          </cell>
          <cell r="Q11">
            <v>59.12</v>
          </cell>
          <cell r="R11">
            <v>59.25</v>
          </cell>
          <cell r="S11">
            <v>59.2</v>
          </cell>
          <cell r="T11">
            <v>59.27</v>
          </cell>
          <cell r="U11">
            <v>58.67</v>
          </cell>
          <cell r="V11">
            <v>59.19</v>
          </cell>
          <cell r="W11">
            <v>59.19</v>
          </cell>
          <cell r="X11">
            <v>59.2</v>
          </cell>
          <cell r="Y11">
            <v>59.34</v>
          </cell>
          <cell r="Z11">
            <v>59.11</v>
          </cell>
          <cell r="AA11">
            <v>59.39</v>
          </cell>
          <cell r="AB11">
            <v>58.27</v>
          </cell>
          <cell r="AC11">
            <v>59.05</v>
          </cell>
          <cell r="AD11">
            <v>59.11</v>
          </cell>
          <cell r="AE11">
            <v>59.04</v>
          </cell>
          <cell r="AF11">
            <v>58.63</v>
          </cell>
        </row>
        <row r="12">
          <cell r="B12">
            <v>188.15</v>
          </cell>
          <cell r="C12">
            <v>188.26</v>
          </cell>
          <cell r="D12">
            <v>188.94</v>
          </cell>
          <cell r="E12">
            <v>188.14</v>
          </cell>
          <cell r="F12">
            <v>185.69</v>
          </cell>
          <cell r="G12">
            <v>186.68</v>
          </cell>
          <cell r="H12">
            <v>187.98</v>
          </cell>
          <cell r="I12">
            <v>188.56</v>
          </cell>
          <cell r="J12">
            <v>187.63</v>
          </cell>
          <cell r="K12">
            <v>188.03</v>
          </cell>
          <cell r="L12">
            <v>188.22</v>
          </cell>
          <cell r="M12">
            <v>186.65</v>
          </cell>
          <cell r="N12">
            <v>187.85</v>
          </cell>
          <cell r="O12">
            <v>188.39</v>
          </cell>
          <cell r="P12">
            <v>188.74</v>
          </cell>
          <cell r="Q12">
            <v>188.2</v>
          </cell>
          <cell r="R12">
            <v>188.76</v>
          </cell>
          <cell r="S12">
            <v>188.43</v>
          </cell>
          <cell r="T12">
            <v>185.5</v>
          </cell>
          <cell r="U12">
            <v>186.96</v>
          </cell>
          <cell r="V12">
            <v>188.95</v>
          </cell>
          <cell r="W12">
            <v>187.7</v>
          </cell>
          <cell r="X12">
            <v>186.77</v>
          </cell>
          <cell r="Y12">
            <v>187.74</v>
          </cell>
          <cell r="Z12">
            <v>188.38</v>
          </cell>
          <cell r="AA12">
            <v>185.77</v>
          </cell>
          <cell r="AB12">
            <v>187.17</v>
          </cell>
          <cell r="AC12">
            <v>188.46</v>
          </cell>
          <cell r="AD12">
            <v>188.91</v>
          </cell>
          <cell r="AE12">
            <v>188.83</v>
          </cell>
          <cell r="AF12">
            <v>187.75</v>
          </cell>
        </row>
        <row r="13">
          <cell r="B13">
            <v>174.15</v>
          </cell>
          <cell r="C13">
            <v>173.59</v>
          </cell>
          <cell r="D13">
            <v>173.8</v>
          </cell>
          <cell r="E13">
            <v>174.2</v>
          </cell>
          <cell r="F13">
            <v>174.67</v>
          </cell>
          <cell r="G13">
            <v>174.39</v>
          </cell>
          <cell r="H13">
            <v>174.9</v>
          </cell>
          <cell r="I13">
            <v>174.77</v>
          </cell>
          <cell r="J13">
            <v>175.42</v>
          </cell>
          <cell r="K13">
            <v>176.23</v>
          </cell>
          <cell r="L13">
            <v>177.18</v>
          </cell>
          <cell r="M13">
            <v>177.65</v>
          </cell>
          <cell r="N13">
            <v>175.94</v>
          </cell>
          <cell r="O13">
            <v>177.56</v>
          </cell>
          <cell r="P13">
            <v>177.49</v>
          </cell>
          <cell r="Q13">
            <v>177.83</v>
          </cell>
          <cell r="R13">
            <v>178.12</v>
          </cell>
          <cell r="S13">
            <v>178.78</v>
          </cell>
          <cell r="T13">
            <v>179.99</v>
          </cell>
          <cell r="U13">
            <v>179.15</v>
          </cell>
          <cell r="V13">
            <v>180</v>
          </cell>
          <cell r="W13">
            <v>181.05</v>
          </cell>
          <cell r="X13">
            <v>187.98</v>
          </cell>
          <cell r="Y13">
            <v>181.89</v>
          </cell>
          <cell r="Z13">
            <v>182.12</v>
          </cell>
          <cell r="AA13">
            <v>183.15</v>
          </cell>
          <cell r="AB13">
            <v>183.8</v>
          </cell>
          <cell r="AC13">
            <v>183.15</v>
          </cell>
          <cell r="AD13">
            <v>183.84</v>
          </cell>
          <cell r="AE13">
            <v>183.8</v>
          </cell>
          <cell r="AF13">
            <v>188.56</v>
          </cell>
        </row>
        <row r="14">
          <cell r="B14">
            <v>156.24</v>
          </cell>
          <cell r="C14">
            <v>156.06</v>
          </cell>
          <cell r="D14">
            <v>156.01</v>
          </cell>
          <cell r="E14">
            <v>156.01</v>
          </cell>
          <cell r="F14">
            <v>156.30000000000001</v>
          </cell>
          <cell r="G14">
            <v>153.78</v>
          </cell>
          <cell r="H14">
            <v>156.02000000000001</v>
          </cell>
          <cell r="I14">
            <v>156.02000000000001</v>
          </cell>
          <cell r="J14">
            <v>155.16</v>
          </cell>
          <cell r="K14">
            <v>156.93</v>
          </cell>
          <cell r="L14">
            <v>156.82</v>
          </cell>
          <cell r="M14">
            <v>156.18</v>
          </cell>
          <cell r="N14">
            <v>154.15</v>
          </cell>
          <cell r="O14">
            <v>156.47999999999999</v>
          </cell>
          <cell r="P14">
            <v>156.31</v>
          </cell>
          <cell r="Q14">
            <v>156.91999999999999</v>
          </cell>
          <cell r="R14">
            <v>156.61000000000001</v>
          </cell>
          <cell r="S14">
            <v>156.47999999999999</v>
          </cell>
          <cell r="T14">
            <v>156.94999999999999</v>
          </cell>
          <cell r="U14">
            <v>154.05000000000001</v>
          </cell>
          <cell r="V14">
            <v>156.78</v>
          </cell>
          <cell r="W14">
            <v>155.47</v>
          </cell>
          <cell r="X14">
            <v>156.69999999999999</v>
          </cell>
          <cell r="Y14">
            <v>155.26</v>
          </cell>
          <cell r="Z14">
            <v>156.36000000000001</v>
          </cell>
          <cell r="AA14">
            <v>156.93</v>
          </cell>
          <cell r="AB14">
            <v>154.93</v>
          </cell>
          <cell r="AC14">
            <v>156.18</v>
          </cell>
          <cell r="AD14">
            <v>156.69999999999999</v>
          </cell>
          <cell r="AE14">
            <v>156.5</v>
          </cell>
          <cell r="AF14">
            <v>155.22</v>
          </cell>
        </row>
        <row r="15">
          <cell r="B15">
            <v>146.58000000000001</v>
          </cell>
          <cell r="C15">
            <v>146.49</v>
          </cell>
          <cell r="D15">
            <v>146.49</v>
          </cell>
          <cell r="E15">
            <v>146.35</v>
          </cell>
          <cell r="F15">
            <v>145.9</v>
          </cell>
          <cell r="G15">
            <v>145.63</v>
          </cell>
          <cell r="H15">
            <v>146.43</v>
          </cell>
          <cell r="I15">
            <v>146.24</v>
          </cell>
          <cell r="J15">
            <v>146.72999999999999</v>
          </cell>
          <cell r="K15">
            <v>146.65</v>
          </cell>
          <cell r="L15">
            <v>146.83000000000001</v>
          </cell>
          <cell r="M15">
            <v>146.68</v>
          </cell>
          <cell r="N15">
            <v>146.68</v>
          </cell>
          <cell r="O15">
            <v>146.38999999999999</v>
          </cell>
          <cell r="P15">
            <v>146.62</v>
          </cell>
          <cell r="Q15">
            <v>146.52000000000001</v>
          </cell>
          <cell r="R15">
            <v>146.77000000000001</v>
          </cell>
          <cell r="S15">
            <v>146.66999999999999</v>
          </cell>
          <cell r="T15">
            <v>147.22</v>
          </cell>
          <cell r="U15">
            <v>146.94999999999999</v>
          </cell>
          <cell r="V15">
            <v>146.59</v>
          </cell>
          <cell r="W15">
            <v>146.84</v>
          </cell>
          <cell r="X15">
            <v>147.47999999999999</v>
          </cell>
          <cell r="Y15">
            <v>147.02000000000001</v>
          </cell>
          <cell r="Z15">
            <v>147.13</v>
          </cell>
          <cell r="AA15">
            <v>147.28</v>
          </cell>
          <cell r="AB15">
            <v>147.16999999999999</v>
          </cell>
          <cell r="AC15">
            <v>147</v>
          </cell>
          <cell r="AD15">
            <v>146.79</v>
          </cell>
          <cell r="AE15">
            <v>147.09</v>
          </cell>
          <cell r="AF15">
            <v>147.76</v>
          </cell>
        </row>
        <row r="16">
          <cell r="B16">
            <v>160.07</v>
          </cell>
          <cell r="C16">
            <v>160.11000000000001</v>
          </cell>
          <cell r="D16">
            <v>159.94</v>
          </cell>
          <cell r="E16">
            <v>160.06</v>
          </cell>
          <cell r="F16">
            <v>160.31</v>
          </cell>
          <cell r="G16">
            <v>159.15</v>
          </cell>
          <cell r="H16">
            <v>159.77000000000001</v>
          </cell>
          <cell r="I16">
            <v>160.05000000000001</v>
          </cell>
          <cell r="J16">
            <v>159.59</v>
          </cell>
          <cell r="K16">
            <v>160.44</v>
          </cell>
          <cell r="L16">
            <v>160.63999999999999</v>
          </cell>
          <cell r="M16">
            <v>159.88999999999999</v>
          </cell>
          <cell r="N16">
            <v>159.5</v>
          </cell>
          <cell r="O16">
            <v>160.41</v>
          </cell>
          <cell r="P16">
            <v>160.38999999999999</v>
          </cell>
          <cell r="Q16">
            <v>160.72999999999999</v>
          </cell>
          <cell r="R16">
            <v>160.69999999999999</v>
          </cell>
          <cell r="S16">
            <v>160.33000000000001</v>
          </cell>
          <cell r="T16">
            <v>160.79</v>
          </cell>
          <cell r="U16">
            <v>159.65</v>
          </cell>
          <cell r="V16">
            <v>160.6</v>
          </cell>
          <cell r="W16">
            <v>159.58000000000001</v>
          </cell>
          <cell r="X16">
            <v>161.72999999999999</v>
          </cell>
          <cell r="Y16">
            <v>159.76</v>
          </cell>
          <cell r="Z16">
            <v>160.59</v>
          </cell>
          <cell r="AA16">
            <v>161.11000000000001</v>
          </cell>
          <cell r="AB16">
            <v>160.19</v>
          </cell>
          <cell r="AC16">
            <v>160.49</v>
          </cell>
          <cell r="AD16">
            <v>160.51</v>
          </cell>
          <cell r="AE16">
            <v>160.55000000000001</v>
          </cell>
          <cell r="AF16">
            <v>160.96</v>
          </cell>
        </row>
        <row r="17">
          <cell r="B17">
            <v>131.32</v>
          </cell>
          <cell r="C17">
            <v>131.4</v>
          </cell>
          <cell r="D17">
            <v>130.94</v>
          </cell>
          <cell r="E17">
            <v>130.76</v>
          </cell>
          <cell r="F17">
            <v>130.91</v>
          </cell>
          <cell r="G17">
            <v>129.58000000000001</v>
          </cell>
          <cell r="H17">
            <v>130.44</v>
          </cell>
          <cell r="I17">
            <v>130.57</v>
          </cell>
          <cell r="J17">
            <v>129.97999999999999</v>
          </cell>
          <cell r="K17">
            <v>130.33000000000001</v>
          </cell>
          <cell r="L17">
            <v>130.87</v>
          </cell>
          <cell r="M17">
            <v>129.83000000000001</v>
          </cell>
          <cell r="N17">
            <v>129.94</v>
          </cell>
          <cell r="O17">
            <v>130.28</v>
          </cell>
          <cell r="P17">
            <v>130.16999999999999</v>
          </cell>
          <cell r="Q17">
            <v>130.24</v>
          </cell>
          <cell r="R17">
            <v>130.5</v>
          </cell>
          <cell r="S17">
            <v>129.94</v>
          </cell>
          <cell r="T17">
            <v>130.72</v>
          </cell>
          <cell r="U17">
            <v>130.38999999999999</v>
          </cell>
          <cell r="V17">
            <v>130.21</v>
          </cell>
          <cell r="W17">
            <v>129.58000000000001</v>
          </cell>
          <cell r="X17">
            <v>131.53</v>
          </cell>
          <cell r="Y17">
            <v>129.4</v>
          </cell>
          <cell r="Z17">
            <v>130.33000000000001</v>
          </cell>
          <cell r="AA17">
            <v>130.66</v>
          </cell>
          <cell r="AB17">
            <v>129.79</v>
          </cell>
          <cell r="AC17">
            <v>130.16</v>
          </cell>
          <cell r="AD17">
            <v>130.25</v>
          </cell>
          <cell r="AE17">
            <v>129.87</v>
          </cell>
          <cell r="AF17">
            <v>131.96</v>
          </cell>
        </row>
        <row r="18">
          <cell r="B18">
            <v>55.53</v>
          </cell>
          <cell r="C18">
            <v>55.61</v>
          </cell>
          <cell r="D18">
            <v>55.5</v>
          </cell>
          <cell r="E18">
            <v>55.74</v>
          </cell>
          <cell r="F18">
            <v>55.58</v>
          </cell>
          <cell r="G18">
            <v>54.73</v>
          </cell>
          <cell r="H18">
            <v>55.61</v>
          </cell>
          <cell r="I18">
            <v>55.85</v>
          </cell>
          <cell r="J18">
            <v>55.42</v>
          </cell>
          <cell r="K18">
            <v>55.9</v>
          </cell>
          <cell r="L18">
            <v>55.76</v>
          </cell>
          <cell r="M18">
            <v>55.85</v>
          </cell>
          <cell r="N18">
            <v>54.62</v>
          </cell>
          <cell r="O18">
            <v>55.78</v>
          </cell>
          <cell r="P18">
            <v>55.88</v>
          </cell>
          <cell r="Q18">
            <v>55.96</v>
          </cell>
          <cell r="R18">
            <v>56.18</v>
          </cell>
          <cell r="S18">
            <v>55.99</v>
          </cell>
          <cell r="T18">
            <v>55.78</v>
          </cell>
          <cell r="U18">
            <v>55.03</v>
          </cell>
          <cell r="V18">
            <v>56.18</v>
          </cell>
          <cell r="W18">
            <v>55.92</v>
          </cell>
          <cell r="X18">
            <v>56.45</v>
          </cell>
          <cell r="Y18">
            <v>56.02</v>
          </cell>
          <cell r="Z18">
            <v>56.13</v>
          </cell>
          <cell r="AA18">
            <v>55.69</v>
          </cell>
          <cell r="AB18">
            <v>54.84</v>
          </cell>
          <cell r="AC18">
            <v>55.89</v>
          </cell>
          <cell r="AD18">
            <v>56.33</v>
          </cell>
          <cell r="AE18">
            <v>56.12</v>
          </cell>
          <cell r="AF18">
            <v>55.76</v>
          </cell>
        </row>
        <row r="19">
          <cell r="B19">
            <v>270.19</v>
          </cell>
          <cell r="C19">
            <v>270.76</v>
          </cell>
          <cell r="D19">
            <v>271.83999999999997</v>
          </cell>
          <cell r="E19">
            <v>271.79000000000002</v>
          </cell>
          <cell r="F19">
            <v>268.42</v>
          </cell>
          <cell r="G19">
            <v>264.31</v>
          </cell>
          <cell r="H19">
            <v>270.24</v>
          </cell>
          <cell r="I19">
            <v>270.24</v>
          </cell>
          <cell r="J19">
            <v>271.68</v>
          </cell>
          <cell r="K19">
            <v>270.97000000000003</v>
          </cell>
          <cell r="L19">
            <v>271.12</v>
          </cell>
          <cell r="M19">
            <v>270.22000000000003</v>
          </cell>
          <cell r="N19">
            <v>262.8</v>
          </cell>
          <cell r="O19">
            <v>271.64</v>
          </cell>
          <cell r="P19">
            <v>271.77999999999997</v>
          </cell>
          <cell r="Q19">
            <v>272.72000000000003</v>
          </cell>
          <cell r="R19">
            <v>270.75</v>
          </cell>
          <cell r="S19">
            <v>272.11</v>
          </cell>
          <cell r="T19">
            <v>269.91000000000003</v>
          </cell>
          <cell r="U19">
            <v>263.61</v>
          </cell>
          <cell r="V19">
            <v>271.79000000000002</v>
          </cell>
          <cell r="W19">
            <v>272.58999999999997</v>
          </cell>
          <cell r="X19">
            <v>270.62</v>
          </cell>
          <cell r="Y19">
            <v>273.45999999999998</v>
          </cell>
          <cell r="Z19">
            <v>272.95</v>
          </cell>
          <cell r="AA19">
            <v>269.88</v>
          </cell>
          <cell r="AB19">
            <v>262.77</v>
          </cell>
          <cell r="AC19">
            <v>270.54000000000002</v>
          </cell>
          <cell r="AD19">
            <v>272.14</v>
          </cell>
          <cell r="AE19">
            <v>272.39</v>
          </cell>
          <cell r="AF19">
            <v>266.42</v>
          </cell>
        </row>
        <row r="20">
          <cell r="B20">
            <v>21.44</v>
          </cell>
          <cell r="C20">
            <v>21.43</v>
          </cell>
          <cell r="D20">
            <v>21.48</v>
          </cell>
          <cell r="E20">
            <v>21.5</v>
          </cell>
          <cell r="F20">
            <v>21.3</v>
          </cell>
          <cell r="G20">
            <v>21.48</v>
          </cell>
          <cell r="H20">
            <v>21.44</v>
          </cell>
          <cell r="I20">
            <v>21.43</v>
          </cell>
          <cell r="J20">
            <v>21.57</v>
          </cell>
          <cell r="K20">
            <v>21.38</v>
          </cell>
          <cell r="L20">
            <v>21.45</v>
          </cell>
          <cell r="M20">
            <v>21.49</v>
          </cell>
          <cell r="N20">
            <v>21.42</v>
          </cell>
          <cell r="O20">
            <v>21.35</v>
          </cell>
          <cell r="P20">
            <v>21.36</v>
          </cell>
          <cell r="Q20">
            <v>21.31</v>
          </cell>
          <cell r="R20">
            <v>21.27</v>
          </cell>
          <cell r="S20">
            <v>21.34</v>
          </cell>
          <cell r="T20">
            <v>21.24</v>
          </cell>
          <cell r="U20">
            <v>21.47</v>
          </cell>
          <cell r="V20">
            <v>21.31</v>
          </cell>
          <cell r="W20">
            <v>21.66</v>
          </cell>
          <cell r="X20">
            <v>21.19</v>
          </cell>
          <cell r="Y20">
            <v>21.59</v>
          </cell>
          <cell r="Z20">
            <v>21.41</v>
          </cell>
          <cell r="AA20">
            <v>21.27</v>
          </cell>
          <cell r="AB20">
            <v>21.33</v>
          </cell>
          <cell r="AC20">
            <v>21.34</v>
          </cell>
          <cell r="AD20">
            <v>21.46</v>
          </cell>
          <cell r="AE20">
            <v>21.38</v>
          </cell>
          <cell r="AF20">
            <v>21.36</v>
          </cell>
        </row>
        <row r="21">
          <cell r="B21">
            <v>25.62</v>
          </cell>
          <cell r="C21">
            <v>25.55</v>
          </cell>
          <cell r="D21">
            <v>25.65</v>
          </cell>
          <cell r="E21">
            <v>25.7</v>
          </cell>
          <cell r="F21">
            <v>25.67</v>
          </cell>
          <cell r="G21">
            <v>25.2</v>
          </cell>
          <cell r="H21">
            <v>25.51</v>
          </cell>
          <cell r="I21">
            <v>25.77</v>
          </cell>
          <cell r="J21">
            <v>25.48</v>
          </cell>
          <cell r="K21">
            <v>25.79</v>
          </cell>
          <cell r="L21">
            <v>25.87</v>
          </cell>
          <cell r="M21">
            <v>25.35</v>
          </cell>
          <cell r="N21">
            <v>25.02</v>
          </cell>
          <cell r="O21">
            <v>25.82</v>
          </cell>
          <cell r="P21">
            <v>25.85</v>
          </cell>
          <cell r="Q21">
            <v>26.05</v>
          </cell>
          <cell r="R21">
            <v>26.05</v>
          </cell>
          <cell r="S21">
            <v>25.85</v>
          </cell>
          <cell r="T21">
            <v>25.83</v>
          </cell>
          <cell r="U21">
            <v>25.13</v>
          </cell>
          <cell r="V21">
            <v>25.76</v>
          </cell>
          <cell r="W21">
            <v>25.44</v>
          </cell>
          <cell r="X21">
            <v>25.57</v>
          </cell>
          <cell r="Y21">
            <v>25.57</v>
          </cell>
          <cell r="Z21">
            <v>25.8</v>
          </cell>
          <cell r="AA21">
            <v>25.61</v>
          </cell>
          <cell r="AB21">
            <v>24.99</v>
          </cell>
          <cell r="AC21">
            <v>25.65</v>
          </cell>
          <cell r="AD21">
            <v>25.81</v>
          </cell>
          <cell r="AE21">
            <v>25.79</v>
          </cell>
          <cell r="AF21">
            <v>24.85</v>
          </cell>
        </row>
        <row r="22">
          <cell r="B22">
            <v>27.85</v>
          </cell>
          <cell r="C22">
            <v>28.08</v>
          </cell>
          <cell r="D22">
            <v>28.13</v>
          </cell>
          <cell r="E22">
            <v>28.16</v>
          </cell>
          <cell r="F22">
            <v>27.86</v>
          </cell>
          <cell r="G22">
            <v>26.81</v>
          </cell>
          <cell r="H22">
            <v>28.09</v>
          </cell>
          <cell r="I22">
            <v>28.43</v>
          </cell>
          <cell r="J22">
            <v>28.25</v>
          </cell>
          <cell r="K22">
            <v>28.39</v>
          </cell>
          <cell r="L22">
            <v>28.48</v>
          </cell>
          <cell r="M22">
            <v>28.45</v>
          </cell>
          <cell r="N22">
            <v>27.01</v>
          </cell>
          <cell r="O22">
            <v>28.43</v>
          </cell>
          <cell r="P22">
            <v>28.27</v>
          </cell>
          <cell r="Q22">
            <v>28.36</v>
          </cell>
          <cell r="R22">
            <v>28.17</v>
          </cell>
          <cell r="S22">
            <v>28.25</v>
          </cell>
          <cell r="T22">
            <v>27.92</v>
          </cell>
          <cell r="U22">
            <v>26.92</v>
          </cell>
          <cell r="V22">
            <v>28.41</v>
          </cell>
          <cell r="W22">
            <v>28.29</v>
          </cell>
          <cell r="X22">
            <v>28.41</v>
          </cell>
          <cell r="Y22">
            <v>28.28</v>
          </cell>
          <cell r="Z22">
            <v>28.25</v>
          </cell>
          <cell r="AA22">
            <v>27.87</v>
          </cell>
          <cell r="AB22">
            <v>26.8</v>
          </cell>
          <cell r="AC22">
            <v>27.96</v>
          </cell>
          <cell r="AD22">
            <v>28.24</v>
          </cell>
          <cell r="AE22">
            <v>28.21</v>
          </cell>
          <cell r="AF22">
            <v>27.29</v>
          </cell>
        </row>
        <row r="23">
          <cell r="B23">
            <v>36.82</v>
          </cell>
          <cell r="C23">
            <v>37.770000000000003</v>
          </cell>
          <cell r="D23">
            <v>38.409999999999997</v>
          </cell>
          <cell r="E23">
            <v>39.35</v>
          </cell>
          <cell r="F23">
            <v>39.520000000000003</v>
          </cell>
          <cell r="G23">
            <v>39.299999999999997</v>
          </cell>
          <cell r="H23">
            <v>40.1</v>
          </cell>
          <cell r="I23">
            <v>40.619999999999997</v>
          </cell>
          <cell r="J23">
            <v>40.67</v>
          </cell>
          <cell r="K23">
            <v>40.83</v>
          </cell>
          <cell r="L23">
            <v>41.02</v>
          </cell>
          <cell r="M23">
            <v>41.88</v>
          </cell>
          <cell r="N23">
            <v>40.64</v>
          </cell>
          <cell r="O23">
            <v>41.35</v>
          </cell>
          <cell r="P23">
            <v>41.5</v>
          </cell>
          <cell r="Q23">
            <v>41.47</v>
          </cell>
          <cell r="R23">
            <v>41.31</v>
          </cell>
          <cell r="S23">
            <v>41.4</v>
          </cell>
          <cell r="T23">
            <v>40.67</v>
          </cell>
          <cell r="U23">
            <v>40.590000000000003</v>
          </cell>
          <cell r="V23">
            <v>42.05</v>
          </cell>
          <cell r="W23">
            <v>42.58</v>
          </cell>
          <cell r="X23">
            <v>55.13</v>
          </cell>
          <cell r="Y23">
            <v>43.87</v>
          </cell>
          <cell r="Z23">
            <v>44.23</v>
          </cell>
          <cell r="AA23">
            <v>44.31</v>
          </cell>
          <cell r="AB23">
            <v>43.59</v>
          </cell>
          <cell r="AC23">
            <v>44.99</v>
          </cell>
          <cell r="AD23">
            <v>46.58</v>
          </cell>
          <cell r="AE23">
            <v>47.52</v>
          </cell>
          <cell r="AF23">
            <v>48.86</v>
          </cell>
        </row>
      </sheetData>
      <sheetData sheetId="14">
        <row r="2">
          <cell r="B2">
            <v>43.88</v>
          </cell>
          <cell r="C2">
            <v>43.92</v>
          </cell>
          <cell r="D2">
            <v>43.29</v>
          </cell>
          <cell r="E2">
            <v>43.34</v>
          </cell>
          <cell r="F2">
            <v>43.88</v>
          </cell>
          <cell r="G2">
            <v>43.81</v>
          </cell>
          <cell r="H2">
            <v>43.8</v>
          </cell>
          <cell r="I2">
            <v>43.67</v>
          </cell>
          <cell r="J2">
            <v>43.83</v>
          </cell>
          <cell r="K2">
            <v>43.81</v>
          </cell>
          <cell r="L2">
            <v>43.83</v>
          </cell>
          <cell r="M2">
            <v>43.58</v>
          </cell>
          <cell r="N2">
            <v>43.64</v>
          </cell>
          <cell r="O2">
            <v>43.67</v>
          </cell>
          <cell r="P2">
            <v>43.47</v>
          </cell>
          <cell r="Q2">
            <v>43.57</v>
          </cell>
          <cell r="R2">
            <v>43.42</v>
          </cell>
          <cell r="S2">
            <v>43.63</v>
          </cell>
          <cell r="T2">
            <v>44.39</v>
          </cell>
          <cell r="U2">
            <v>43.62</v>
          </cell>
          <cell r="V2">
            <v>44.04</v>
          </cell>
          <cell r="W2">
            <v>43.72</v>
          </cell>
          <cell r="X2">
            <v>43.76</v>
          </cell>
          <cell r="Y2">
            <v>43.38</v>
          </cell>
          <cell r="Z2">
            <v>43.12</v>
          </cell>
          <cell r="AA2">
            <v>43.25</v>
          </cell>
          <cell r="AB2">
            <v>43.69</v>
          </cell>
          <cell r="AC2">
            <v>43.48</v>
          </cell>
          <cell r="AD2">
            <v>43.71</v>
          </cell>
          <cell r="AE2">
            <v>43.74</v>
          </cell>
          <cell r="AF2">
            <v>43.12</v>
          </cell>
        </row>
        <row r="3">
          <cell r="B3">
            <v>30.97</v>
          </cell>
          <cell r="C3">
            <v>30.84</v>
          </cell>
          <cell r="D3">
            <v>31.01</v>
          </cell>
          <cell r="E3">
            <v>31.1</v>
          </cell>
          <cell r="F3">
            <v>30.95</v>
          </cell>
          <cell r="G3">
            <v>30.87</v>
          </cell>
          <cell r="H3">
            <v>30.9</v>
          </cell>
          <cell r="I3">
            <v>30.86</v>
          </cell>
          <cell r="J3">
            <v>30.94</v>
          </cell>
          <cell r="K3">
            <v>30.96</v>
          </cell>
          <cell r="L3">
            <v>30.94</v>
          </cell>
          <cell r="M3">
            <v>30.7</v>
          </cell>
          <cell r="N3">
            <v>30.67</v>
          </cell>
          <cell r="O3">
            <v>30.76</v>
          </cell>
          <cell r="P3">
            <v>30.69</v>
          </cell>
          <cell r="Q3">
            <v>30.71</v>
          </cell>
          <cell r="R3">
            <v>30.88</v>
          </cell>
          <cell r="S3">
            <v>30.9</v>
          </cell>
          <cell r="T3">
            <v>31.07</v>
          </cell>
          <cell r="U3">
            <v>30.77</v>
          </cell>
          <cell r="V3">
            <v>30.58</v>
          </cell>
          <cell r="W3">
            <v>30.77</v>
          </cell>
          <cell r="X3">
            <v>30.69</v>
          </cell>
          <cell r="Y3">
            <v>30.65</v>
          </cell>
          <cell r="Z3">
            <v>30.79</v>
          </cell>
          <cell r="AA3">
            <v>30.83</v>
          </cell>
          <cell r="AB3">
            <v>30.74</v>
          </cell>
          <cell r="AC3">
            <v>30.7</v>
          </cell>
          <cell r="AD3">
            <v>30.72</v>
          </cell>
          <cell r="AE3">
            <v>30.74</v>
          </cell>
          <cell r="AF3">
            <v>30.8</v>
          </cell>
        </row>
        <row r="4">
          <cell r="B4">
            <v>35.78</v>
          </cell>
          <cell r="C4">
            <v>35.79</v>
          </cell>
          <cell r="D4">
            <v>35.85</v>
          </cell>
          <cell r="E4">
            <v>35.81</v>
          </cell>
          <cell r="F4">
            <v>35.78</v>
          </cell>
          <cell r="G4">
            <v>35.74</v>
          </cell>
          <cell r="H4">
            <v>35.78</v>
          </cell>
          <cell r="I4">
            <v>35.700000000000003</v>
          </cell>
          <cell r="J4">
            <v>35.81</v>
          </cell>
          <cell r="K4">
            <v>35.83</v>
          </cell>
          <cell r="L4">
            <v>35.82</v>
          </cell>
          <cell r="M4">
            <v>35.590000000000003</v>
          </cell>
          <cell r="N4">
            <v>35.619999999999997</v>
          </cell>
          <cell r="O4">
            <v>35.68</v>
          </cell>
          <cell r="P4">
            <v>35.74</v>
          </cell>
          <cell r="Q4">
            <v>35.6</v>
          </cell>
          <cell r="R4">
            <v>35.729999999999997</v>
          </cell>
          <cell r="S4">
            <v>35.78</v>
          </cell>
          <cell r="T4">
            <v>35.909999999999997</v>
          </cell>
          <cell r="U4">
            <v>35.74</v>
          </cell>
          <cell r="V4">
            <v>35.56</v>
          </cell>
          <cell r="W4">
            <v>35.71</v>
          </cell>
          <cell r="X4">
            <v>35.68</v>
          </cell>
          <cell r="Y4">
            <v>35.630000000000003</v>
          </cell>
          <cell r="Z4">
            <v>35.68</v>
          </cell>
          <cell r="AA4">
            <v>35.770000000000003</v>
          </cell>
          <cell r="AB4">
            <v>35.79</v>
          </cell>
          <cell r="AC4">
            <v>35.72</v>
          </cell>
          <cell r="AD4">
            <v>35.74</v>
          </cell>
          <cell r="AE4">
            <v>35.76</v>
          </cell>
          <cell r="AF4">
            <v>35.83</v>
          </cell>
        </row>
        <row r="5">
          <cell r="B5">
            <v>88.54</v>
          </cell>
          <cell r="C5">
            <v>88.42</v>
          </cell>
          <cell r="D5">
            <v>88.19</v>
          </cell>
          <cell r="E5">
            <v>88.48</v>
          </cell>
          <cell r="F5">
            <v>88.62</v>
          </cell>
          <cell r="G5">
            <v>88.43</v>
          </cell>
          <cell r="H5">
            <v>88.42</v>
          </cell>
          <cell r="I5">
            <v>88.47</v>
          </cell>
          <cell r="J5">
            <v>88.6</v>
          </cell>
          <cell r="K5">
            <v>88.63</v>
          </cell>
          <cell r="L5">
            <v>88.58</v>
          </cell>
          <cell r="M5">
            <v>88.49</v>
          </cell>
          <cell r="N5">
            <v>88.66</v>
          </cell>
          <cell r="O5">
            <v>88.82</v>
          </cell>
          <cell r="P5">
            <v>89.08</v>
          </cell>
          <cell r="Q5">
            <v>89.03</v>
          </cell>
          <cell r="R5">
            <v>89.26</v>
          </cell>
          <cell r="S5">
            <v>89.42</v>
          </cell>
          <cell r="T5">
            <v>90.05</v>
          </cell>
          <cell r="U5">
            <v>89.52</v>
          </cell>
          <cell r="V5">
            <v>90.03</v>
          </cell>
          <cell r="W5">
            <v>90.23</v>
          </cell>
          <cell r="X5">
            <v>90.34</v>
          </cell>
          <cell r="Y5">
            <v>90.45</v>
          </cell>
          <cell r="Z5">
            <v>90.07</v>
          </cell>
          <cell r="AA5">
            <v>90.52</v>
          </cell>
          <cell r="AB5">
            <v>91.07</v>
          </cell>
          <cell r="AC5">
            <v>90.67</v>
          </cell>
          <cell r="AD5">
            <v>91.1</v>
          </cell>
          <cell r="AE5">
            <v>91.3</v>
          </cell>
          <cell r="AF5">
            <v>91.53</v>
          </cell>
        </row>
        <row r="6">
          <cell r="B6">
            <v>167.58</v>
          </cell>
          <cell r="C6">
            <v>167.33</v>
          </cell>
          <cell r="D6">
            <v>167.06</v>
          </cell>
          <cell r="E6">
            <v>167.3</v>
          </cell>
          <cell r="F6">
            <v>167.25</v>
          </cell>
          <cell r="G6">
            <v>167.01</v>
          </cell>
          <cell r="H6">
            <v>166.86</v>
          </cell>
          <cell r="I6">
            <v>166.31</v>
          </cell>
          <cell r="J6">
            <v>166.02</v>
          </cell>
          <cell r="K6">
            <v>166.06</v>
          </cell>
          <cell r="L6">
            <v>166.02</v>
          </cell>
          <cell r="M6">
            <v>165.83</v>
          </cell>
          <cell r="N6">
            <v>165.73</v>
          </cell>
          <cell r="O6">
            <v>165.6</v>
          </cell>
          <cell r="P6">
            <v>165.5</v>
          </cell>
          <cell r="Q6">
            <v>165.27</v>
          </cell>
          <cell r="R6">
            <v>165.06</v>
          </cell>
          <cell r="S6">
            <v>164.94</v>
          </cell>
          <cell r="T6">
            <v>165.67</v>
          </cell>
          <cell r="U6">
            <v>164.9</v>
          </cell>
          <cell r="V6">
            <v>165.06</v>
          </cell>
          <cell r="W6">
            <v>164.97</v>
          </cell>
          <cell r="X6">
            <v>164.91</v>
          </cell>
          <cell r="Y6">
            <v>164.57</v>
          </cell>
          <cell r="Z6">
            <v>164.11</v>
          </cell>
          <cell r="AA6">
            <v>164.37</v>
          </cell>
          <cell r="AB6">
            <v>164.74</v>
          </cell>
          <cell r="AC6">
            <v>164.43</v>
          </cell>
          <cell r="AD6">
            <v>164.57</v>
          </cell>
          <cell r="AE6">
            <v>164.46</v>
          </cell>
          <cell r="AF6">
            <v>164.15</v>
          </cell>
        </row>
        <row r="7">
          <cell r="B7">
            <v>126.53</v>
          </cell>
          <cell r="C7">
            <v>126.23</v>
          </cell>
          <cell r="D7">
            <v>125.64</v>
          </cell>
          <cell r="E7">
            <v>126.35</v>
          </cell>
          <cell r="F7">
            <v>126.47</v>
          </cell>
          <cell r="G7">
            <v>125.98</v>
          </cell>
          <cell r="H7">
            <v>126.13</v>
          </cell>
          <cell r="I7">
            <v>125.71</v>
          </cell>
          <cell r="J7">
            <v>126</v>
          </cell>
          <cell r="K7">
            <v>126.07</v>
          </cell>
          <cell r="L7">
            <v>125.94</v>
          </cell>
          <cell r="M7">
            <v>125.37</v>
          </cell>
          <cell r="N7">
            <v>125.26</v>
          </cell>
          <cell r="O7">
            <v>125.27</v>
          </cell>
          <cell r="P7">
            <v>125.31</v>
          </cell>
          <cell r="Q7">
            <v>124.87</v>
          </cell>
          <cell r="R7">
            <v>125.23</v>
          </cell>
          <cell r="S7">
            <v>125.14</v>
          </cell>
          <cell r="T7">
            <v>125.98</v>
          </cell>
          <cell r="U7">
            <v>124.72</v>
          </cell>
          <cell r="V7">
            <v>125.3</v>
          </cell>
          <cell r="W7">
            <v>124.89</v>
          </cell>
          <cell r="X7">
            <v>125.06</v>
          </cell>
          <cell r="Y7">
            <v>125.07</v>
          </cell>
          <cell r="Z7">
            <v>124.39</v>
          </cell>
          <cell r="AA7">
            <v>124.95</v>
          </cell>
          <cell r="AB7">
            <v>125.17</v>
          </cell>
          <cell r="AC7">
            <v>124.52</v>
          </cell>
          <cell r="AD7">
            <v>124.85</v>
          </cell>
          <cell r="AE7">
            <v>124.91</v>
          </cell>
          <cell r="AF7">
            <v>124.61</v>
          </cell>
        </row>
        <row r="8">
          <cell r="B8">
            <v>117.45</v>
          </cell>
          <cell r="C8">
            <v>117.42</v>
          </cell>
          <cell r="D8">
            <v>117.13</v>
          </cell>
          <cell r="E8">
            <v>116.7</v>
          </cell>
          <cell r="F8">
            <v>117.35</v>
          </cell>
          <cell r="G8">
            <v>117.11</v>
          </cell>
          <cell r="H8">
            <v>117.04</v>
          </cell>
          <cell r="I8">
            <v>116.59</v>
          </cell>
          <cell r="J8">
            <v>116.97</v>
          </cell>
          <cell r="K8">
            <v>117.01</v>
          </cell>
          <cell r="L8">
            <v>116.94</v>
          </cell>
          <cell r="M8">
            <v>116.52</v>
          </cell>
          <cell r="N8">
            <v>116.42</v>
          </cell>
          <cell r="O8">
            <v>116.32</v>
          </cell>
          <cell r="P8">
            <v>115.42</v>
          </cell>
          <cell r="Q8">
            <v>116.12</v>
          </cell>
          <cell r="R8">
            <v>116.27</v>
          </cell>
          <cell r="S8">
            <v>115.5</v>
          </cell>
          <cell r="T8">
            <v>116.81</v>
          </cell>
          <cell r="U8">
            <v>115.72</v>
          </cell>
          <cell r="V8">
            <v>116.21</v>
          </cell>
          <cell r="W8">
            <v>116.13</v>
          </cell>
          <cell r="X8">
            <v>116.12</v>
          </cell>
          <cell r="Y8">
            <v>116.07</v>
          </cell>
          <cell r="Z8">
            <v>114.76</v>
          </cell>
          <cell r="AA8">
            <v>115.51</v>
          </cell>
          <cell r="AB8">
            <v>116.1</v>
          </cell>
          <cell r="AC8">
            <v>115.46</v>
          </cell>
          <cell r="AD8">
            <v>115.91</v>
          </cell>
          <cell r="AE8">
            <v>115.86</v>
          </cell>
          <cell r="AF8">
            <v>115.81</v>
          </cell>
        </row>
        <row r="9">
          <cell r="B9">
            <v>91.59</v>
          </cell>
          <cell r="C9">
            <v>91.42</v>
          </cell>
          <cell r="D9">
            <v>91.17</v>
          </cell>
          <cell r="E9">
            <v>90.97</v>
          </cell>
          <cell r="F9">
            <v>91.49</v>
          </cell>
          <cell r="G9">
            <v>91.3</v>
          </cell>
          <cell r="H9">
            <v>90.85</v>
          </cell>
          <cell r="I9">
            <v>90.54</v>
          </cell>
          <cell r="J9">
            <v>90.39</v>
          </cell>
          <cell r="K9">
            <v>90.39</v>
          </cell>
          <cell r="L9">
            <v>90.39</v>
          </cell>
          <cell r="M9">
            <v>90.29</v>
          </cell>
          <cell r="N9">
            <v>90.22</v>
          </cell>
          <cell r="O9">
            <v>90.07</v>
          </cell>
          <cell r="P9">
            <v>89.95</v>
          </cell>
          <cell r="Q9">
            <v>89.84</v>
          </cell>
          <cell r="R9">
            <v>89.63</v>
          </cell>
          <cell r="S9">
            <v>89.35</v>
          </cell>
          <cell r="T9">
            <v>90.27</v>
          </cell>
          <cell r="U9">
            <v>89.7</v>
          </cell>
          <cell r="V9">
            <v>90.17</v>
          </cell>
          <cell r="W9">
            <v>89.89</v>
          </cell>
          <cell r="X9">
            <v>90</v>
          </cell>
          <cell r="Y9">
            <v>89.73</v>
          </cell>
          <cell r="Z9">
            <v>89.18</v>
          </cell>
          <cell r="AA9">
            <v>89.84</v>
          </cell>
          <cell r="AB9">
            <v>89.9</v>
          </cell>
          <cell r="AC9">
            <v>89.61</v>
          </cell>
          <cell r="AD9">
            <v>89.76</v>
          </cell>
          <cell r="AE9">
            <v>89.78</v>
          </cell>
          <cell r="AF9">
            <v>89.35</v>
          </cell>
        </row>
        <row r="10">
          <cell r="B10">
            <v>44.83</v>
          </cell>
          <cell r="C10">
            <v>44.95</v>
          </cell>
          <cell r="D10">
            <v>44.94</v>
          </cell>
          <cell r="E10">
            <v>44.53</v>
          </cell>
          <cell r="F10">
            <v>44.84</v>
          </cell>
          <cell r="G10">
            <v>44.82</v>
          </cell>
          <cell r="H10">
            <v>44.78</v>
          </cell>
          <cell r="I10">
            <v>44.81</v>
          </cell>
          <cell r="J10">
            <v>44.99</v>
          </cell>
          <cell r="K10">
            <v>45.01</v>
          </cell>
          <cell r="L10">
            <v>44.99</v>
          </cell>
          <cell r="M10">
            <v>44.78</v>
          </cell>
          <cell r="N10">
            <v>44.74</v>
          </cell>
          <cell r="O10">
            <v>44.76</v>
          </cell>
          <cell r="P10">
            <v>44.68</v>
          </cell>
          <cell r="Q10">
            <v>44.86</v>
          </cell>
          <cell r="R10">
            <v>44.85</v>
          </cell>
          <cell r="S10">
            <v>44.65</v>
          </cell>
          <cell r="T10">
            <v>45.01</v>
          </cell>
          <cell r="U10">
            <v>44.81</v>
          </cell>
          <cell r="V10">
            <v>44.83</v>
          </cell>
          <cell r="W10">
            <v>44.78</v>
          </cell>
          <cell r="X10">
            <v>44.82</v>
          </cell>
          <cell r="Y10">
            <v>44.88</v>
          </cell>
          <cell r="Z10">
            <v>44.53</v>
          </cell>
          <cell r="AA10">
            <v>45</v>
          </cell>
          <cell r="AB10">
            <v>44.81</v>
          </cell>
          <cell r="AC10">
            <v>44.75</v>
          </cell>
          <cell r="AD10">
            <v>44.7</v>
          </cell>
          <cell r="AE10">
            <v>44.78</v>
          </cell>
          <cell r="AF10">
            <v>44.8</v>
          </cell>
        </row>
        <row r="11">
          <cell r="B11">
            <v>59.01</v>
          </cell>
          <cell r="C11">
            <v>59.37</v>
          </cell>
          <cell r="D11">
            <v>59.78</v>
          </cell>
          <cell r="E11">
            <v>59.13</v>
          </cell>
          <cell r="F11">
            <v>59.19</v>
          </cell>
          <cell r="G11">
            <v>59.25</v>
          </cell>
          <cell r="H11">
            <v>59.04</v>
          </cell>
          <cell r="I11">
            <v>59.01</v>
          </cell>
          <cell r="J11">
            <v>59.52</v>
          </cell>
          <cell r="K11">
            <v>59.53</v>
          </cell>
          <cell r="L11">
            <v>59.53</v>
          </cell>
          <cell r="M11">
            <v>59.12</v>
          </cell>
          <cell r="N11">
            <v>59.03</v>
          </cell>
          <cell r="O11">
            <v>59.02</v>
          </cell>
          <cell r="P11">
            <v>59.27</v>
          </cell>
          <cell r="Q11">
            <v>59.34</v>
          </cell>
          <cell r="R11">
            <v>59.41</v>
          </cell>
          <cell r="S11">
            <v>59.28</v>
          </cell>
          <cell r="T11">
            <v>59.53</v>
          </cell>
          <cell r="U11">
            <v>59.09</v>
          </cell>
          <cell r="V11">
            <v>59.06</v>
          </cell>
          <cell r="W11">
            <v>58.95</v>
          </cell>
          <cell r="X11">
            <v>58.94</v>
          </cell>
          <cell r="Y11">
            <v>59.46</v>
          </cell>
          <cell r="Z11">
            <v>58.73</v>
          </cell>
          <cell r="AA11">
            <v>59.84</v>
          </cell>
          <cell r="AB11">
            <v>58.96</v>
          </cell>
          <cell r="AC11">
            <v>58.99</v>
          </cell>
          <cell r="AD11">
            <v>58.72</v>
          </cell>
          <cell r="AE11">
            <v>58.87</v>
          </cell>
          <cell r="AF11">
            <v>59.22</v>
          </cell>
        </row>
        <row r="12">
          <cell r="B12">
            <v>186.81</v>
          </cell>
          <cell r="C12">
            <v>186.37</v>
          </cell>
          <cell r="D12">
            <v>185.41</v>
          </cell>
          <cell r="E12">
            <v>184.43</v>
          </cell>
          <cell r="F12">
            <v>186.84</v>
          </cell>
          <cell r="G12">
            <v>186.11</v>
          </cell>
          <cell r="H12">
            <v>185.82</v>
          </cell>
          <cell r="I12">
            <v>186.87</v>
          </cell>
          <cell r="J12">
            <v>185.5</v>
          </cell>
          <cell r="K12">
            <v>185.54</v>
          </cell>
          <cell r="L12">
            <v>185.5</v>
          </cell>
          <cell r="M12">
            <v>185.51</v>
          </cell>
          <cell r="N12">
            <v>184.96</v>
          </cell>
          <cell r="O12">
            <v>184.52</v>
          </cell>
          <cell r="P12">
            <v>182.32</v>
          </cell>
          <cell r="Q12">
            <v>183.59</v>
          </cell>
          <cell r="R12">
            <v>182.29</v>
          </cell>
          <cell r="S12">
            <v>180.97</v>
          </cell>
          <cell r="T12">
            <v>183.52</v>
          </cell>
          <cell r="U12">
            <v>182.61</v>
          </cell>
          <cell r="V12">
            <v>183.5</v>
          </cell>
          <cell r="W12">
            <v>183.44</v>
          </cell>
          <cell r="X12">
            <v>183.6</v>
          </cell>
          <cell r="Y12">
            <v>181.21</v>
          </cell>
          <cell r="Z12">
            <v>180.83</v>
          </cell>
          <cell r="AA12">
            <v>182.37</v>
          </cell>
          <cell r="AB12">
            <v>183.51</v>
          </cell>
          <cell r="AC12">
            <v>182.84</v>
          </cell>
          <cell r="AD12">
            <v>183.26</v>
          </cell>
          <cell r="AE12">
            <v>183.37</v>
          </cell>
          <cell r="AF12">
            <v>180.99</v>
          </cell>
        </row>
        <row r="13">
          <cell r="B13">
            <v>140.51</v>
          </cell>
          <cell r="C13">
            <v>139.99</v>
          </cell>
          <cell r="D13">
            <v>140.78</v>
          </cell>
          <cell r="E13">
            <v>140.34</v>
          </cell>
          <cell r="F13">
            <v>140.18</v>
          </cell>
          <cell r="G13">
            <v>140.28</v>
          </cell>
          <cell r="H13">
            <v>140.29</v>
          </cell>
          <cell r="I13">
            <v>140.36000000000001</v>
          </cell>
          <cell r="J13">
            <v>139.34</v>
          </cell>
          <cell r="K13">
            <v>139.43</v>
          </cell>
          <cell r="L13">
            <v>139.34</v>
          </cell>
          <cell r="M13">
            <v>139.91</v>
          </cell>
          <cell r="N13">
            <v>139.77000000000001</v>
          </cell>
          <cell r="O13">
            <v>139.74</v>
          </cell>
          <cell r="P13">
            <v>139.53</v>
          </cell>
          <cell r="Q13">
            <v>140.19999999999999</v>
          </cell>
          <cell r="R13">
            <v>140.38999999999999</v>
          </cell>
          <cell r="S13">
            <v>139.54</v>
          </cell>
          <cell r="T13">
            <v>139.71</v>
          </cell>
          <cell r="U13">
            <v>139.76</v>
          </cell>
          <cell r="V13">
            <v>139.03</v>
          </cell>
          <cell r="W13">
            <v>139.96</v>
          </cell>
          <cell r="X13">
            <v>139.74</v>
          </cell>
          <cell r="Y13">
            <v>139.29</v>
          </cell>
          <cell r="Z13">
            <v>139.19</v>
          </cell>
          <cell r="AA13">
            <v>138.88999999999999</v>
          </cell>
          <cell r="AB13">
            <v>139.84</v>
          </cell>
          <cell r="AC13">
            <v>139.9</v>
          </cell>
          <cell r="AD13">
            <v>140.11000000000001</v>
          </cell>
          <cell r="AE13">
            <v>139.88</v>
          </cell>
          <cell r="AF13">
            <v>140.25</v>
          </cell>
        </row>
        <row r="14">
          <cell r="B14">
            <v>124.4</v>
          </cell>
          <cell r="C14">
            <v>123.79</v>
          </cell>
          <cell r="D14">
            <v>124.47</v>
          </cell>
          <cell r="E14">
            <v>122.48</v>
          </cell>
          <cell r="F14">
            <v>124.09</v>
          </cell>
          <cell r="G14">
            <v>124.01</v>
          </cell>
          <cell r="H14">
            <v>123.73</v>
          </cell>
          <cell r="I14">
            <v>123.66</v>
          </cell>
          <cell r="J14">
            <v>123.42</v>
          </cell>
          <cell r="K14">
            <v>123.42</v>
          </cell>
          <cell r="L14">
            <v>123.4</v>
          </cell>
          <cell r="M14">
            <v>123.61</v>
          </cell>
          <cell r="N14">
            <v>123.36</v>
          </cell>
          <cell r="O14">
            <v>123.2</v>
          </cell>
          <cell r="P14">
            <v>122.56</v>
          </cell>
          <cell r="Q14">
            <v>123.3</v>
          </cell>
          <cell r="R14">
            <v>123.51</v>
          </cell>
          <cell r="S14">
            <v>122.26</v>
          </cell>
          <cell r="T14">
            <v>123.97</v>
          </cell>
          <cell r="U14">
            <v>122.87</v>
          </cell>
          <cell r="V14">
            <v>123.51</v>
          </cell>
          <cell r="W14">
            <v>123.36</v>
          </cell>
          <cell r="X14">
            <v>123.41</v>
          </cell>
          <cell r="Y14">
            <v>123.61</v>
          </cell>
          <cell r="Z14">
            <v>122.04</v>
          </cell>
          <cell r="AA14">
            <v>122.97</v>
          </cell>
          <cell r="AB14">
            <v>123.06</v>
          </cell>
          <cell r="AC14">
            <v>122.77</v>
          </cell>
          <cell r="AD14">
            <v>123.1</v>
          </cell>
          <cell r="AE14">
            <v>123.25</v>
          </cell>
          <cell r="AF14">
            <v>123.13</v>
          </cell>
        </row>
        <row r="15">
          <cell r="B15">
            <v>121.26</v>
          </cell>
          <cell r="C15">
            <v>119.95</v>
          </cell>
          <cell r="D15">
            <v>119.46</v>
          </cell>
          <cell r="E15">
            <v>118.05</v>
          </cell>
          <cell r="F15">
            <v>119.92</v>
          </cell>
          <cell r="G15">
            <v>120.27</v>
          </cell>
          <cell r="H15">
            <v>120.19</v>
          </cell>
          <cell r="I15">
            <v>120.38</v>
          </cell>
          <cell r="J15">
            <v>118.79</v>
          </cell>
          <cell r="K15">
            <v>118.81</v>
          </cell>
          <cell r="L15">
            <v>118.79</v>
          </cell>
          <cell r="M15">
            <v>119.79</v>
          </cell>
          <cell r="N15">
            <v>119.81</v>
          </cell>
          <cell r="O15">
            <v>119.67</v>
          </cell>
          <cell r="P15">
            <v>117.65</v>
          </cell>
          <cell r="Q15">
            <v>119.54</v>
          </cell>
          <cell r="R15">
            <v>118.77</v>
          </cell>
          <cell r="S15">
            <v>117.22</v>
          </cell>
          <cell r="T15">
            <v>118.53</v>
          </cell>
          <cell r="U15">
            <v>119.45</v>
          </cell>
          <cell r="V15">
            <v>119.41</v>
          </cell>
          <cell r="W15">
            <v>119.56</v>
          </cell>
          <cell r="X15">
            <v>119.48</v>
          </cell>
          <cell r="Y15">
            <v>118.18</v>
          </cell>
          <cell r="Z15">
            <v>117.45</v>
          </cell>
          <cell r="AA15">
            <v>117.99</v>
          </cell>
          <cell r="AB15">
            <v>119.23</v>
          </cell>
          <cell r="AC15">
            <v>119.53</v>
          </cell>
          <cell r="AD15">
            <v>119.49</v>
          </cell>
          <cell r="AE15">
            <v>119.25</v>
          </cell>
          <cell r="AF15">
            <v>118.25</v>
          </cell>
        </row>
        <row r="16">
          <cell r="B16">
            <v>120.74</v>
          </cell>
          <cell r="C16">
            <v>121.05</v>
          </cell>
          <cell r="D16">
            <v>120.15</v>
          </cell>
          <cell r="E16">
            <v>119.36</v>
          </cell>
          <cell r="F16">
            <v>120.77</v>
          </cell>
          <cell r="G16">
            <v>121.34</v>
          </cell>
          <cell r="H16">
            <v>120.99</v>
          </cell>
          <cell r="I16">
            <v>120.44</v>
          </cell>
          <cell r="J16">
            <v>120.04</v>
          </cell>
          <cell r="K16">
            <v>120.01</v>
          </cell>
          <cell r="L16">
            <v>120</v>
          </cell>
          <cell r="M16">
            <v>120.34</v>
          </cell>
          <cell r="N16">
            <v>120.46</v>
          </cell>
          <cell r="O16">
            <v>120.31</v>
          </cell>
          <cell r="P16">
            <v>119.27</v>
          </cell>
          <cell r="Q16">
            <v>120.34</v>
          </cell>
          <cell r="R16">
            <v>119.84</v>
          </cell>
          <cell r="S16">
            <v>118.69</v>
          </cell>
          <cell r="T16">
            <v>120.11</v>
          </cell>
          <cell r="U16">
            <v>119.93</v>
          </cell>
          <cell r="V16">
            <v>120.45</v>
          </cell>
          <cell r="W16">
            <v>120.19</v>
          </cell>
          <cell r="X16">
            <v>120.21</v>
          </cell>
          <cell r="Y16">
            <v>120.5</v>
          </cell>
          <cell r="Z16">
            <v>119.38</v>
          </cell>
          <cell r="AA16">
            <v>119.47</v>
          </cell>
          <cell r="AB16">
            <v>120.06</v>
          </cell>
          <cell r="AC16">
            <v>119.9</v>
          </cell>
          <cell r="AD16">
            <v>120.18</v>
          </cell>
          <cell r="AE16">
            <v>120.14</v>
          </cell>
          <cell r="AF16">
            <v>119.86</v>
          </cell>
        </row>
        <row r="17">
          <cell r="B17">
            <v>99.2</v>
          </cell>
          <cell r="C17">
            <v>99.27</v>
          </cell>
          <cell r="D17">
            <v>98.89</v>
          </cell>
          <cell r="E17">
            <v>98.39</v>
          </cell>
          <cell r="F17">
            <v>98.91</v>
          </cell>
          <cell r="G17">
            <v>99.33</v>
          </cell>
          <cell r="H17">
            <v>99.19</v>
          </cell>
          <cell r="I17">
            <v>99.13</v>
          </cell>
          <cell r="J17">
            <v>99.29</v>
          </cell>
          <cell r="K17">
            <v>99.31</v>
          </cell>
          <cell r="L17">
            <v>99.24</v>
          </cell>
          <cell r="M17">
            <v>99.16</v>
          </cell>
          <cell r="N17">
            <v>99.15</v>
          </cell>
          <cell r="O17">
            <v>98.94</v>
          </cell>
          <cell r="P17">
            <v>98.5</v>
          </cell>
          <cell r="Q17">
            <v>99.24</v>
          </cell>
          <cell r="R17">
            <v>98.95</v>
          </cell>
          <cell r="S17">
            <v>98.25</v>
          </cell>
          <cell r="T17">
            <v>99.15</v>
          </cell>
          <cell r="U17">
            <v>98.74</v>
          </cell>
          <cell r="V17">
            <v>99.28</v>
          </cell>
          <cell r="W17">
            <v>98.97</v>
          </cell>
          <cell r="X17">
            <v>99.11</v>
          </cell>
          <cell r="Y17">
            <v>99.39</v>
          </cell>
          <cell r="Z17">
            <v>98.28</v>
          </cell>
          <cell r="AA17">
            <v>98.72</v>
          </cell>
          <cell r="AB17">
            <v>99.35</v>
          </cell>
          <cell r="AC17">
            <v>98.99</v>
          </cell>
          <cell r="AD17">
            <v>99.49</v>
          </cell>
          <cell r="AE17">
            <v>99.56</v>
          </cell>
          <cell r="AF17">
            <v>99.63</v>
          </cell>
        </row>
        <row r="18">
          <cell r="B18">
            <v>54.91</v>
          </cell>
          <cell r="C18">
            <v>55.74</v>
          </cell>
          <cell r="D18">
            <v>54.94</v>
          </cell>
          <cell r="E18">
            <v>54.22</v>
          </cell>
          <cell r="F18">
            <v>55.13</v>
          </cell>
          <cell r="G18">
            <v>54.92</v>
          </cell>
          <cell r="H18">
            <v>54.9</v>
          </cell>
          <cell r="I18">
            <v>54.78</v>
          </cell>
          <cell r="J18">
            <v>55.47</v>
          </cell>
          <cell r="K18">
            <v>55.46</v>
          </cell>
          <cell r="L18">
            <v>55.47</v>
          </cell>
          <cell r="M18">
            <v>54.68</v>
          </cell>
          <cell r="N18">
            <v>54.68</v>
          </cell>
          <cell r="O18">
            <v>54.62</v>
          </cell>
          <cell r="P18">
            <v>54.58</v>
          </cell>
          <cell r="Q18">
            <v>54.82</v>
          </cell>
          <cell r="R18">
            <v>54.78</v>
          </cell>
          <cell r="S18">
            <v>54.58</v>
          </cell>
          <cell r="T18">
            <v>55.86</v>
          </cell>
          <cell r="U18">
            <v>54.53</v>
          </cell>
          <cell r="V18">
            <v>54.87</v>
          </cell>
          <cell r="W18">
            <v>54.68</v>
          </cell>
          <cell r="X18">
            <v>54.74</v>
          </cell>
          <cell r="Y18">
            <v>54.88</v>
          </cell>
          <cell r="Z18">
            <v>53.96</v>
          </cell>
          <cell r="AA18">
            <v>55.44</v>
          </cell>
          <cell r="AB18">
            <v>54.81</v>
          </cell>
          <cell r="AC18">
            <v>54.43</v>
          </cell>
          <cell r="AD18">
            <v>54.71</v>
          </cell>
          <cell r="AE18">
            <v>54.76</v>
          </cell>
          <cell r="AF18">
            <v>54.75</v>
          </cell>
        </row>
        <row r="19">
          <cell r="B19">
            <v>273.43</v>
          </cell>
          <cell r="C19">
            <v>275.52999999999997</v>
          </cell>
          <cell r="D19">
            <v>270.45999999999998</v>
          </cell>
          <cell r="E19">
            <v>264.45</v>
          </cell>
          <cell r="F19">
            <v>271.93</v>
          </cell>
          <cell r="G19">
            <v>271.62</v>
          </cell>
          <cell r="H19">
            <v>269.54000000000002</v>
          </cell>
          <cell r="I19">
            <v>269.49</v>
          </cell>
          <cell r="J19">
            <v>270.99</v>
          </cell>
          <cell r="K19">
            <v>271.31</v>
          </cell>
          <cell r="L19">
            <v>270.99</v>
          </cell>
          <cell r="M19">
            <v>270.17</v>
          </cell>
          <cell r="N19">
            <v>269.56</v>
          </cell>
          <cell r="O19">
            <v>269.35000000000002</v>
          </cell>
          <cell r="P19">
            <v>261.02999999999997</v>
          </cell>
          <cell r="Q19">
            <v>268.11</v>
          </cell>
          <cell r="R19">
            <v>265.33</v>
          </cell>
          <cell r="S19">
            <v>261.66000000000003</v>
          </cell>
          <cell r="T19">
            <v>269.7</v>
          </cell>
          <cell r="U19">
            <v>269.52</v>
          </cell>
          <cell r="V19">
            <v>268.61</v>
          </cell>
          <cell r="W19">
            <v>268.74</v>
          </cell>
          <cell r="X19">
            <v>269.45</v>
          </cell>
          <cell r="Y19">
            <v>265.17</v>
          </cell>
          <cell r="Z19">
            <v>260.37</v>
          </cell>
          <cell r="AA19">
            <v>267.73</v>
          </cell>
          <cell r="AB19">
            <v>267.81</v>
          </cell>
          <cell r="AC19">
            <v>268.39</v>
          </cell>
          <cell r="AD19">
            <v>266.97000000000003</v>
          </cell>
          <cell r="AE19">
            <v>267.70999999999998</v>
          </cell>
          <cell r="AF19">
            <v>264.47000000000003</v>
          </cell>
        </row>
        <row r="20">
          <cell r="B20">
            <v>22.17</v>
          </cell>
          <cell r="C20">
            <v>22.42</v>
          </cell>
          <cell r="D20">
            <v>22.5</v>
          </cell>
          <cell r="E20">
            <v>23</v>
          </cell>
          <cell r="F20">
            <v>22.29</v>
          </cell>
          <cell r="G20">
            <v>22.38</v>
          </cell>
          <cell r="H20">
            <v>22.25</v>
          </cell>
          <cell r="I20">
            <v>22.31</v>
          </cell>
          <cell r="J20">
            <v>22.5</v>
          </cell>
          <cell r="K20">
            <v>22.53</v>
          </cell>
          <cell r="L20">
            <v>22.51</v>
          </cell>
          <cell r="M20">
            <v>22.2</v>
          </cell>
          <cell r="N20">
            <v>22.08</v>
          </cell>
          <cell r="O20">
            <v>22.15</v>
          </cell>
          <cell r="P20">
            <v>22.23</v>
          </cell>
          <cell r="Q20">
            <v>22.06</v>
          </cell>
          <cell r="R20">
            <v>22.14</v>
          </cell>
          <cell r="S20">
            <v>22.64</v>
          </cell>
          <cell r="T20">
            <v>21.88</v>
          </cell>
          <cell r="U20">
            <v>22.41</v>
          </cell>
          <cell r="V20">
            <v>21.93</v>
          </cell>
          <cell r="W20">
            <v>22.09</v>
          </cell>
          <cell r="X20">
            <v>22.17</v>
          </cell>
          <cell r="Y20">
            <v>21.91</v>
          </cell>
          <cell r="Z20">
            <v>22.53</v>
          </cell>
          <cell r="AA20">
            <v>21.91</v>
          </cell>
          <cell r="AB20">
            <v>21.95</v>
          </cell>
          <cell r="AC20">
            <v>22.17</v>
          </cell>
          <cell r="AD20">
            <v>22.05</v>
          </cell>
          <cell r="AE20">
            <v>22.12</v>
          </cell>
          <cell r="AF20">
            <v>21.83</v>
          </cell>
        </row>
        <row r="21">
          <cell r="B21">
            <v>37.69</v>
          </cell>
          <cell r="C21">
            <v>37.97</v>
          </cell>
          <cell r="D21">
            <v>37.049999999999997</v>
          </cell>
          <cell r="E21">
            <v>36.85</v>
          </cell>
          <cell r="F21">
            <v>37.729999999999997</v>
          </cell>
          <cell r="G21">
            <v>37.51</v>
          </cell>
          <cell r="H21">
            <v>37.4</v>
          </cell>
          <cell r="I21">
            <v>37.380000000000003</v>
          </cell>
          <cell r="J21">
            <v>37.6</v>
          </cell>
          <cell r="K21">
            <v>37.6</v>
          </cell>
          <cell r="L21">
            <v>37.57</v>
          </cell>
          <cell r="M21">
            <v>37.119999999999997</v>
          </cell>
          <cell r="N21">
            <v>37.18</v>
          </cell>
          <cell r="O21">
            <v>37.19</v>
          </cell>
          <cell r="P21">
            <v>36.67</v>
          </cell>
          <cell r="Q21">
            <v>37.19</v>
          </cell>
          <cell r="R21">
            <v>37.200000000000003</v>
          </cell>
          <cell r="S21">
            <v>36.72</v>
          </cell>
          <cell r="T21">
            <v>37.909999999999997</v>
          </cell>
          <cell r="U21">
            <v>36.96</v>
          </cell>
          <cell r="V21">
            <v>37.369999999999997</v>
          </cell>
          <cell r="W21">
            <v>37.14</v>
          </cell>
          <cell r="X21">
            <v>37.19</v>
          </cell>
          <cell r="Y21">
            <v>37.04</v>
          </cell>
          <cell r="Z21">
            <v>36.200000000000003</v>
          </cell>
          <cell r="AA21">
            <v>36.799999999999997</v>
          </cell>
          <cell r="AB21">
            <v>37.11</v>
          </cell>
          <cell r="AC21">
            <v>36.68</v>
          </cell>
          <cell r="AD21">
            <v>37.1</v>
          </cell>
          <cell r="AE21">
            <v>37.1</v>
          </cell>
          <cell r="AF21">
            <v>36.76</v>
          </cell>
        </row>
        <row r="22">
          <cell r="B22">
            <v>43.44</v>
          </cell>
          <cell r="C22">
            <v>43.84</v>
          </cell>
          <cell r="D22">
            <v>43.37</v>
          </cell>
          <cell r="E22">
            <v>42.42</v>
          </cell>
          <cell r="F22">
            <v>43.46</v>
          </cell>
          <cell r="G22">
            <v>43.14</v>
          </cell>
          <cell r="H22">
            <v>43</v>
          </cell>
          <cell r="I22">
            <v>42.93</v>
          </cell>
          <cell r="J22">
            <v>43.34</v>
          </cell>
          <cell r="K22">
            <v>43.38</v>
          </cell>
          <cell r="L22">
            <v>43.34</v>
          </cell>
          <cell r="M22">
            <v>43.56</v>
          </cell>
          <cell r="N22">
            <v>43.74</v>
          </cell>
          <cell r="O22">
            <v>44.07</v>
          </cell>
          <cell r="P22">
            <v>43.83</v>
          </cell>
          <cell r="Q22">
            <v>44.59</v>
          </cell>
          <cell r="R22">
            <v>44.83</v>
          </cell>
          <cell r="S22">
            <v>44.1</v>
          </cell>
          <cell r="T22">
            <v>45.9</v>
          </cell>
          <cell r="U22">
            <v>45.43</v>
          </cell>
          <cell r="V22">
            <v>45.69</v>
          </cell>
          <cell r="W22">
            <v>45.85</v>
          </cell>
          <cell r="X22">
            <v>46.45</v>
          </cell>
          <cell r="Y22">
            <v>46.83</v>
          </cell>
          <cell r="Z22">
            <v>45.87</v>
          </cell>
          <cell r="AA22">
            <v>47.48</v>
          </cell>
          <cell r="AB22">
            <v>47.79</v>
          </cell>
          <cell r="AC22">
            <v>47.88</v>
          </cell>
          <cell r="AD22">
            <v>48.1</v>
          </cell>
          <cell r="AE22">
            <v>48.33</v>
          </cell>
          <cell r="AF22">
            <v>48.47</v>
          </cell>
        </row>
        <row r="23">
          <cell r="B23">
            <v>60.03</v>
          </cell>
          <cell r="C23">
            <v>59.24</v>
          </cell>
          <cell r="D23">
            <v>58.31</v>
          </cell>
          <cell r="E23">
            <v>55.49</v>
          </cell>
          <cell r="F23">
            <v>56.26</v>
          </cell>
          <cell r="G23">
            <v>55.08</v>
          </cell>
          <cell r="H23">
            <v>53.54</v>
          </cell>
          <cell r="I23">
            <v>52.37</v>
          </cell>
          <cell r="J23">
            <v>51.33</v>
          </cell>
          <cell r="K23">
            <v>51.35</v>
          </cell>
          <cell r="L23">
            <v>51.37</v>
          </cell>
          <cell r="M23">
            <v>50.79</v>
          </cell>
          <cell r="N23">
            <v>50.11</v>
          </cell>
          <cell r="O23">
            <v>49.37</v>
          </cell>
          <cell r="P23">
            <v>47.94</v>
          </cell>
          <cell r="Q23">
            <v>49.35</v>
          </cell>
          <cell r="R23">
            <v>48.65</v>
          </cell>
          <cell r="S23">
            <v>47.2</v>
          </cell>
          <cell r="T23">
            <v>48.72</v>
          </cell>
          <cell r="U23">
            <v>48.94</v>
          </cell>
          <cell r="V23">
            <v>48.12</v>
          </cell>
          <cell r="W23">
            <v>47.78</v>
          </cell>
          <cell r="X23">
            <v>47.92</v>
          </cell>
          <cell r="Y23">
            <v>47.61</v>
          </cell>
          <cell r="Z23">
            <v>45.84</v>
          </cell>
          <cell r="AA23">
            <v>48.1</v>
          </cell>
          <cell r="AB23">
            <v>46.65</v>
          </cell>
          <cell r="AC23">
            <v>46.97</v>
          </cell>
          <cell r="AD23">
            <v>45.67</v>
          </cell>
          <cell r="AE23">
            <v>45.41</v>
          </cell>
          <cell r="AF23">
            <v>45.31</v>
          </cell>
        </row>
      </sheetData>
      <sheetData sheetId="15">
        <row r="2">
          <cell r="B2">
            <v>42.8</v>
          </cell>
          <cell r="C2">
            <v>42.4</v>
          </cell>
          <cell r="D2">
            <v>41.59</v>
          </cell>
          <cell r="E2">
            <v>42.94</v>
          </cell>
          <cell r="F2">
            <v>42.92</v>
          </cell>
          <cell r="G2">
            <v>42.94</v>
          </cell>
          <cell r="H2">
            <v>42.9</v>
          </cell>
          <cell r="I2">
            <v>42.71</v>
          </cell>
          <cell r="J2">
            <v>42.25</v>
          </cell>
          <cell r="K2">
            <v>41.84</v>
          </cell>
          <cell r="L2">
            <v>42.9</v>
          </cell>
          <cell r="M2">
            <v>42.95</v>
          </cell>
          <cell r="N2">
            <v>42.87</v>
          </cell>
          <cell r="O2">
            <v>42.89</v>
          </cell>
          <cell r="P2">
            <v>42.21</v>
          </cell>
          <cell r="Q2">
            <v>42.22</v>
          </cell>
          <cell r="R2">
            <v>42</v>
          </cell>
          <cell r="S2">
            <v>42.94</v>
          </cell>
          <cell r="T2">
            <v>42.9</v>
          </cell>
          <cell r="U2">
            <v>42.78</v>
          </cell>
          <cell r="V2">
            <v>42.86</v>
          </cell>
          <cell r="W2">
            <v>42.96</v>
          </cell>
          <cell r="X2">
            <v>42.66</v>
          </cell>
          <cell r="Y2">
            <v>41.63</v>
          </cell>
          <cell r="Z2">
            <v>43</v>
          </cell>
          <cell r="AA2">
            <v>42.98</v>
          </cell>
          <cell r="AB2">
            <v>42.25</v>
          </cell>
          <cell r="AC2">
            <v>42.66</v>
          </cell>
          <cell r="AD2">
            <v>42.96</v>
          </cell>
          <cell r="AE2">
            <v>42.59</v>
          </cell>
          <cell r="AF2">
            <v>41.97</v>
          </cell>
        </row>
        <row r="3">
          <cell r="B3">
            <v>31.55</v>
          </cell>
          <cell r="C3">
            <v>31.57</v>
          </cell>
          <cell r="D3">
            <v>31.67</v>
          </cell>
          <cell r="E3">
            <v>31.56</v>
          </cell>
          <cell r="F3">
            <v>31.6</v>
          </cell>
          <cell r="G3">
            <v>31.56</v>
          </cell>
          <cell r="H3">
            <v>31.55</v>
          </cell>
          <cell r="I3">
            <v>31.56</v>
          </cell>
          <cell r="J3">
            <v>31.56</v>
          </cell>
          <cell r="K3">
            <v>31.72</v>
          </cell>
          <cell r="L3">
            <v>31.6</v>
          </cell>
          <cell r="M3">
            <v>31.59</v>
          </cell>
          <cell r="N3">
            <v>31.51</v>
          </cell>
          <cell r="O3">
            <v>31.58</v>
          </cell>
          <cell r="P3">
            <v>31.51</v>
          </cell>
          <cell r="Q3">
            <v>31.65</v>
          </cell>
          <cell r="R3">
            <v>31.69</v>
          </cell>
          <cell r="S3">
            <v>31.56</v>
          </cell>
          <cell r="T3">
            <v>31.55</v>
          </cell>
          <cell r="U3">
            <v>31.65</v>
          </cell>
          <cell r="V3">
            <v>31.6</v>
          </cell>
          <cell r="W3">
            <v>31.6</v>
          </cell>
          <cell r="X3">
            <v>31.54</v>
          </cell>
          <cell r="Y3">
            <v>31.69</v>
          </cell>
          <cell r="Z3">
            <v>31.51</v>
          </cell>
          <cell r="AA3">
            <v>31.57</v>
          </cell>
          <cell r="AB3">
            <v>31.21</v>
          </cell>
          <cell r="AC3">
            <v>31.3</v>
          </cell>
          <cell r="AD3">
            <v>31.41</v>
          </cell>
          <cell r="AE3">
            <v>31.62</v>
          </cell>
          <cell r="AF3">
            <v>31.64</v>
          </cell>
        </row>
        <row r="4">
          <cell r="B4">
            <v>36.81</v>
          </cell>
          <cell r="C4">
            <v>36.9</v>
          </cell>
          <cell r="D4">
            <v>36.97</v>
          </cell>
          <cell r="E4">
            <v>36.869999999999997</v>
          </cell>
          <cell r="F4">
            <v>36.869999999999997</v>
          </cell>
          <cell r="G4">
            <v>36.89</v>
          </cell>
          <cell r="H4">
            <v>36.880000000000003</v>
          </cell>
          <cell r="I4">
            <v>36.96</v>
          </cell>
          <cell r="J4">
            <v>37.08</v>
          </cell>
          <cell r="K4">
            <v>37.03</v>
          </cell>
          <cell r="L4">
            <v>36.86</v>
          </cell>
          <cell r="M4">
            <v>36.880000000000003</v>
          </cell>
          <cell r="N4">
            <v>36.76</v>
          </cell>
          <cell r="O4">
            <v>36.86</v>
          </cell>
          <cell r="P4">
            <v>37.119999999999997</v>
          </cell>
          <cell r="Q4">
            <v>37.090000000000003</v>
          </cell>
          <cell r="R4">
            <v>37.020000000000003</v>
          </cell>
          <cell r="S4">
            <v>36.89</v>
          </cell>
          <cell r="T4">
            <v>36.92</v>
          </cell>
          <cell r="U4">
            <v>36.96</v>
          </cell>
          <cell r="V4">
            <v>36.9</v>
          </cell>
          <cell r="W4">
            <v>36.909999999999997</v>
          </cell>
          <cell r="X4">
            <v>36.799999999999997</v>
          </cell>
          <cell r="Y4">
            <v>37.07</v>
          </cell>
          <cell r="Z4">
            <v>36.81</v>
          </cell>
          <cell r="AA4">
            <v>36.86</v>
          </cell>
          <cell r="AB4">
            <v>36.64</v>
          </cell>
          <cell r="AC4">
            <v>36.65</v>
          </cell>
          <cell r="AD4">
            <v>36.78</v>
          </cell>
          <cell r="AE4">
            <v>36.93</v>
          </cell>
          <cell r="AF4">
            <v>36.89</v>
          </cell>
        </row>
        <row r="5">
          <cell r="B5">
            <v>87.16</v>
          </cell>
          <cell r="C5">
            <v>86.77</v>
          </cell>
          <cell r="D5">
            <v>85.54</v>
          </cell>
          <cell r="E5">
            <v>87.18</v>
          </cell>
          <cell r="F5">
            <v>87.26</v>
          </cell>
          <cell r="G5">
            <v>87.28</v>
          </cell>
          <cell r="H5">
            <v>87.3</v>
          </cell>
          <cell r="I5">
            <v>87.35</v>
          </cell>
          <cell r="J5">
            <v>86.84</v>
          </cell>
          <cell r="K5">
            <v>85.86</v>
          </cell>
          <cell r="L5">
            <v>87.23</v>
          </cell>
          <cell r="M5">
            <v>87.31</v>
          </cell>
          <cell r="N5">
            <v>87.13</v>
          </cell>
          <cell r="O5">
            <v>87.27</v>
          </cell>
          <cell r="P5">
            <v>86.29</v>
          </cell>
          <cell r="Q5">
            <v>87.02</v>
          </cell>
          <cell r="R5">
            <v>85.75</v>
          </cell>
          <cell r="S5">
            <v>87.51</v>
          </cell>
          <cell r="T5">
            <v>87.43</v>
          </cell>
          <cell r="U5">
            <v>87.48</v>
          </cell>
          <cell r="V5">
            <v>87.41</v>
          </cell>
          <cell r="W5">
            <v>87.3</v>
          </cell>
          <cell r="X5">
            <v>86.93</v>
          </cell>
          <cell r="Y5">
            <v>85.8</v>
          </cell>
          <cell r="Z5">
            <v>87.25</v>
          </cell>
          <cell r="AA5">
            <v>87.27</v>
          </cell>
          <cell r="AB5">
            <v>87.13</v>
          </cell>
          <cell r="AC5">
            <v>86.66</v>
          </cell>
          <cell r="AD5">
            <v>87.37</v>
          </cell>
          <cell r="AE5">
            <v>86.94</v>
          </cell>
          <cell r="AF5">
            <v>85.7</v>
          </cell>
        </row>
        <row r="6">
          <cell r="B6">
            <v>119.2</v>
          </cell>
          <cell r="C6">
            <v>118.06</v>
          </cell>
          <cell r="D6">
            <v>116.78</v>
          </cell>
          <cell r="E6">
            <v>119.08</v>
          </cell>
          <cell r="F6">
            <v>119.14</v>
          </cell>
          <cell r="G6">
            <v>118.87</v>
          </cell>
          <cell r="H6">
            <v>118.74</v>
          </cell>
          <cell r="I6">
            <v>118.9</v>
          </cell>
          <cell r="J6">
            <v>117.87</v>
          </cell>
          <cell r="K6">
            <v>116.24</v>
          </cell>
          <cell r="L6">
            <v>118.25</v>
          </cell>
          <cell r="M6">
            <v>118.32</v>
          </cell>
          <cell r="N6">
            <v>118.11</v>
          </cell>
          <cell r="O6">
            <v>118.15</v>
          </cell>
          <cell r="P6">
            <v>116.93</v>
          </cell>
          <cell r="Q6">
            <v>117.17</v>
          </cell>
          <cell r="R6">
            <v>115.21</v>
          </cell>
          <cell r="S6">
            <v>118.22</v>
          </cell>
          <cell r="T6">
            <v>117.96</v>
          </cell>
          <cell r="U6">
            <v>118.13</v>
          </cell>
          <cell r="V6">
            <v>117.93</v>
          </cell>
          <cell r="W6">
            <v>117.19</v>
          </cell>
          <cell r="X6">
            <v>116.48</v>
          </cell>
          <cell r="Y6">
            <v>114.8</v>
          </cell>
          <cell r="Z6">
            <v>117.59</v>
          </cell>
          <cell r="AA6">
            <v>117.21</v>
          </cell>
          <cell r="AB6">
            <v>117.45</v>
          </cell>
          <cell r="AC6">
            <v>116.63</v>
          </cell>
          <cell r="AD6">
            <v>116.98</v>
          </cell>
          <cell r="AE6">
            <v>116.12</v>
          </cell>
          <cell r="AF6">
            <v>114.55</v>
          </cell>
        </row>
        <row r="7">
          <cell r="B7">
            <v>114.87</v>
          </cell>
          <cell r="C7">
            <v>114.4</v>
          </cell>
          <cell r="D7">
            <v>114.23</v>
          </cell>
          <cell r="E7">
            <v>114.75</v>
          </cell>
          <cell r="F7">
            <v>114.77</v>
          </cell>
          <cell r="G7">
            <v>114.54</v>
          </cell>
          <cell r="H7">
            <v>114.65</v>
          </cell>
          <cell r="I7">
            <v>114.9</v>
          </cell>
          <cell r="J7">
            <v>114.43</v>
          </cell>
          <cell r="K7">
            <v>113.93</v>
          </cell>
          <cell r="L7">
            <v>114.35</v>
          </cell>
          <cell r="M7">
            <v>114.43</v>
          </cell>
          <cell r="N7">
            <v>114.4</v>
          </cell>
          <cell r="O7">
            <v>114.61</v>
          </cell>
          <cell r="P7">
            <v>114.8</v>
          </cell>
          <cell r="Q7">
            <v>114.22</v>
          </cell>
          <cell r="R7">
            <v>113.51</v>
          </cell>
          <cell r="S7">
            <v>114.8</v>
          </cell>
          <cell r="T7">
            <v>114.51</v>
          </cell>
          <cell r="U7">
            <v>114.72</v>
          </cell>
          <cell r="V7">
            <v>114.59</v>
          </cell>
          <cell r="W7">
            <v>114.07</v>
          </cell>
          <cell r="X7">
            <v>113.98</v>
          </cell>
          <cell r="Y7">
            <v>113.55</v>
          </cell>
          <cell r="Z7">
            <v>114.22</v>
          </cell>
          <cell r="AA7">
            <v>114.03</v>
          </cell>
          <cell r="AB7">
            <v>114.17</v>
          </cell>
          <cell r="AC7">
            <v>113.89</v>
          </cell>
          <cell r="AD7">
            <v>114.26</v>
          </cell>
          <cell r="AE7">
            <v>114</v>
          </cell>
          <cell r="AF7">
            <v>113.72</v>
          </cell>
        </row>
        <row r="8">
          <cell r="B8">
            <v>110.72</v>
          </cell>
          <cell r="C8">
            <v>110.67</v>
          </cell>
          <cell r="D8">
            <v>109.47</v>
          </cell>
          <cell r="E8">
            <v>110.63</v>
          </cell>
          <cell r="F8">
            <v>110.66</v>
          </cell>
          <cell r="G8">
            <v>110.53</v>
          </cell>
          <cell r="H8">
            <v>110.63</v>
          </cell>
          <cell r="I8">
            <v>110.65</v>
          </cell>
          <cell r="J8">
            <v>110.39</v>
          </cell>
          <cell r="K8">
            <v>109.27</v>
          </cell>
          <cell r="L8">
            <v>110.53</v>
          </cell>
          <cell r="M8">
            <v>110.55</v>
          </cell>
          <cell r="N8">
            <v>110.43</v>
          </cell>
          <cell r="O8">
            <v>110.61</v>
          </cell>
          <cell r="P8">
            <v>110.1</v>
          </cell>
          <cell r="Q8">
            <v>110.79</v>
          </cell>
          <cell r="R8">
            <v>109.26</v>
          </cell>
          <cell r="S8">
            <v>110.63</v>
          </cell>
          <cell r="T8">
            <v>110.55</v>
          </cell>
          <cell r="U8">
            <v>110.67</v>
          </cell>
          <cell r="V8">
            <v>110.53</v>
          </cell>
          <cell r="W8">
            <v>110.38</v>
          </cell>
          <cell r="X8">
            <v>110.62</v>
          </cell>
          <cell r="Y8">
            <v>109.32</v>
          </cell>
          <cell r="Z8">
            <v>110.34</v>
          </cell>
          <cell r="AA8">
            <v>110.23</v>
          </cell>
          <cell r="AB8">
            <v>110.31</v>
          </cell>
          <cell r="AC8">
            <v>109.79</v>
          </cell>
          <cell r="AD8">
            <v>110.35</v>
          </cell>
          <cell r="AE8">
            <v>110.16</v>
          </cell>
          <cell r="AF8">
            <v>109.32</v>
          </cell>
        </row>
        <row r="9">
          <cell r="B9">
            <v>88.82</v>
          </cell>
          <cell r="C9">
            <v>88.47</v>
          </cell>
          <cell r="D9">
            <v>87.59</v>
          </cell>
          <cell r="E9">
            <v>89.05</v>
          </cell>
          <cell r="F9">
            <v>89.21</v>
          </cell>
          <cell r="G9">
            <v>89.09</v>
          </cell>
          <cell r="H9">
            <v>89.08</v>
          </cell>
          <cell r="I9">
            <v>89.22</v>
          </cell>
          <cell r="J9">
            <v>88.89</v>
          </cell>
          <cell r="K9">
            <v>87.94</v>
          </cell>
          <cell r="L9">
            <v>88.98</v>
          </cell>
          <cell r="M9">
            <v>89.26</v>
          </cell>
          <cell r="N9">
            <v>89.26</v>
          </cell>
          <cell r="O9">
            <v>89.3</v>
          </cell>
          <cell r="P9">
            <v>88.75</v>
          </cell>
          <cell r="Q9">
            <v>88.97</v>
          </cell>
          <cell r="R9">
            <v>87.89</v>
          </cell>
          <cell r="S9">
            <v>89.44</v>
          </cell>
          <cell r="T9">
            <v>89.25</v>
          </cell>
          <cell r="U9">
            <v>89.4</v>
          </cell>
          <cell r="V9">
            <v>89.43</v>
          </cell>
          <cell r="W9">
            <v>89.24</v>
          </cell>
          <cell r="X9">
            <v>88.82</v>
          </cell>
          <cell r="Y9">
            <v>87.76</v>
          </cell>
          <cell r="Z9">
            <v>89.43</v>
          </cell>
          <cell r="AA9">
            <v>89.35</v>
          </cell>
          <cell r="AB9">
            <v>89.4</v>
          </cell>
          <cell r="AC9">
            <v>89.01</v>
          </cell>
          <cell r="AD9">
            <v>89.59</v>
          </cell>
          <cell r="AE9">
            <v>88.66</v>
          </cell>
          <cell r="AF9">
            <v>87.79</v>
          </cell>
        </row>
        <row r="10">
          <cell r="B10">
            <v>46.05</v>
          </cell>
          <cell r="C10">
            <v>45.98</v>
          </cell>
          <cell r="D10">
            <v>45.74</v>
          </cell>
          <cell r="E10">
            <v>46.13</v>
          </cell>
          <cell r="F10">
            <v>46.16</v>
          </cell>
          <cell r="G10">
            <v>46.15</v>
          </cell>
          <cell r="H10">
            <v>46.18</v>
          </cell>
          <cell r="I10">
            <v>46.24</v>
          </cell>
          <cell r="J10">
            <v>46.45</v>
          </cell>
          <cell r="K10">
            <v>45.86</v>
          </cell>
          <cell r="L10">
            <v>46.15</v>
          </cell>
          <cell r="M10">
            <v>46.19</v>
          </cell>
          <cell r="N10">
            <v>46.2</v>
          </cell>
          <cell r="O10">
            <v>46.25</v>
          </cell>
          <cell r="P10">
            <v>46.1</v>
          </cell>
          <cell r="Q10">
            <v>46.38</v>
          </cell>
          <cell r="R10">
            <v>45.84</v>
          </cell>
          <cell r="S10">
            <v>46.34</v>
          </cell>
          <cell r="T10">
            <v>46.27</v>
          </cell>
          <cell r="U10">
            <v>46.3</v>
          </cell>
          <cell r="V10">
            <v>46.36</v>
          </cell>
          <cell r="W10">
            <v>46.25</v>
          </cell>
          <cell r="X10">
            <v>46.3</v>
          </cell>
          <cell r="Y10">
            <v>45.87</v>
          </cell>
          <cell r="Z10">
            <v>46.31</v>
          </cell>
          <cell r="AA10">
            <v>46.27</v>
          </cell>
          <cell r="AB10">
            <v>46.4</v>
          </cell>
          <cell r="AC10">
            <v>46.28</v>
          </cell>
          <cell r="AD10">
            <v>46.32</v>
          </cell>
          <cell r="AE10">
            <v>46.34</v>
          </cell>
          <cell r="AF10">
            <v>46.02</v>
          </cell>
        </row>
        <row r="11">
          <cell r="B11">
            <v>59.03</v>
          </cell>
          <cell r="C11">
            <v>59.38</v>
          </cell>
          <cell r="D11">
            <v>58.53</v>
          </cell>
          <cell r="E11">
            <v>58.96</v>
          </cell>
          <cell r="F11">
            <v>58.98</v>
          </cell>
          <cell r="G11">
            <v>59.1</v>
          </cell>
          <cell r="H11">
            <v>59.15</v>
          </cell>
          <cell r="I11">
            <v>59.23</v>
          </cell>
          <cell r="J11">
            <v>59.72</v>
          </cell>
          <cell r="K11">
            <v>58.53</v>
          </cell>
          <cell r="L11">
            <v>58.94</v>
          </cell>
          <cell r="M11">
            <v>58.98</v>
          </cell>
          <cell r="N11">
            <v>59.09</v>
          </cell>
          <cell r="O11">
            <v>59.16</v>
          </cell>
          <cell r="P11">
            <v>58.93</v>
          </cell>
          <cell r="Q11">
            <v>59.4</v>
          </cell>
          <cell r="R11">
            <v>58.1</v>
          </cell>
          <cell r="S11">
            <v>59.01</v>
          </cell>
          <cell r="T11">
            <v>59.06</v>
          </cell>
          <cell r="U11">
            <v>59.28</v>
          </cell>
          <cell r="V11">
            <v>59.2</v>
          </cell>
          <cell r="W11">
            <v>59.03</v>
          </cell>
          <cell r="X11">
            <v>59.2</v>
          </cell>
          <cell r="Y11">
            <v>58.49</v>
          </cell>
          <cell r="Z11">
            <v>59.12</v>
          </cell>
          <cell r="AA11">
            <v>59.18</v>
          </cell>
          <cell r="AB11">
            <v>59.46</v>
          </cell>
          <cell r="AC11">
            <v>59.42</v>
          </cell>
          <cell r="AD11">
            <v>59.29</v>
          </cell>
          <cell r="AE11">
            <v>59.37</v>
          </cell>
          <cell r="AF11">
            <v>58.63</v>
          </cell>
        </row>
        <row r="12">
          <cell r="B12">
            <v>188.22</v>
          </cell>
          <cell r="C12">
            <v>186.76</v>
          </cell>
          <cell r="D12">
            <v>186.79</v>
          </cell>
          <cell r="E12">
            <v>189.1</v>
          </cell>
          <cell r="F12">
            <v>189.26</v>
          </cell>
          <cell r="G12">
            <v>189.14</v>
          </cell>
          <cell r="H12">
            <v>188.62</v>
          </cell>
          <cell r="I12">
            <v>189.09</v>
          </cell>
          <cell r="J12">
            <v>187.23</v>
          </cell>
          <cell r="K12">
            <v>187.23</v>
          </cell>
          <cell r="L12">
            <v>188.56</v>
          </cell>
          <cell r="M12">
            <v>188.41</v>
          </cell>
          <cell r="N12">
            <v>188.37</v>
          </cell>
          <cell r="O12">
            <v>188.73</v>
          </cell>
          <cell r="P12">
            <v>185.62</v>
          </cell>
          <cell r="Q12">
            <v>187.61</v>
          </cell>
          <cell r="R12">
            <v>187.74</v>
          </cell>
          <cell r="S12">
            <v>188.75</v>
          </cell>
          <cell r="T12">
            <v>188.1</v>
          </cell>
          <cell r="U12">
            <v>188.65</v>
          </cell>
          <cell r="V12">
            <v>188.59</v>
          </cell>
          <cell r="W12">
            <v>187.8</v>
          </cell>
          <cell r="X12">
            <v>186.77</v>
          </cell>
          <cell r="Y12">
            <v>187.31</v>
          </cell>
          <cell r="Z12">
            <v>187.65</v>
          </cell>
          <cell r="AA12">
            <v>188.04</v>
          </cell>
          <cell r="AB12">
            <v>188.97</v>
          </cell>
          <cell r="AC12">
            <v>187.21</v>
          </cell>
          <cell r="AD12">
            <v>188.19</v>
          </cell>
          <cell r="AE12">
            <v>186.85</v>
          </cell>
          <cell r="AF12">
            <v>187.75</v>
          </cell>
        </row>
        <row r="13">
          <cell r="B13">
            <v>185.19</v>
          </cell>
          <cell r="C13">
            <v>186.14</v>
          </cell>
          <cell r="D13">
            <v>186.3</v>
          </cell>
          <cell r="E13">
            <v>186.21</v>
          </cell>
          <cell r="F13">
            <v>185.67</v>
          </cell>
          <cell r="G13">
            <v>186.08</v>
          </cell>
          <cell r="H13">
            <v>185.91</v>
          </cell>
          <cell r="I13">
            <v>186.35</v>
          </cell>
          <cell r="J13">
            <v>187</v>
          </cell>
          <cell r="K13">
            <v>187.11</v>
          </cell>
          <cell r="L13">
            <v>186.22</v>
          </cell>
          <cell r="M13">
            <v>186.68</v>
          </cell>
          <cell r="N13">
            <v>186.69</v>
          </cell>
          <cell r="O13">
            <v>186.97</v>
          </cell>
          <cell r="P13">
            <v>188.2</v>
          </cell>
          <cell r="Q13">
            <v>188.79</v>
          </cell>
          <cell r="R13">
            <v>188.64</v>
          </cell>
          <cell r="S13">
            <v>187.35</v>
          </cell>
          <cell r="T13">
            <v>187.66</v>
          </cell>
          <cell r="U13">
            <v>187.86</v>
          </cell>
          <cell r="V13">
            <v>188.17</v>
          </cell>
          <cell r="W13">
            <v>188.42</v>
          </cell>
          <cell r="X13">
            <v>187.98</v>
          </cell>
          <cell r="Y13">
            <v>188.59</v>
          </cell>
          <cell r="Z13">
            <v>188.34</v>
          </cell>
          <cell r="AA13">
            <v>188.39</v>
          </cell>
          <cell r="AB13">
            <v>188.16</v>
          </cell>
          <cell r="AC13">
            <v>187.65</v>
          </cell>
          <cell r="AD13">
            <v>187.53</v>
          </cell>
          <cell r="AE13">
            <v>188.4</v>
          </cell>
          <cell r="AF13">
            <v>188.56</v>
          </cell>
        </row>
        <row r="14">
          <cell r="B14">
            <v>156.51</v>
          </cell>
          <cell r="C14">
            <v>156.77000000000001</v>
          </cell>
          <cell r="D14">
            <v>154.93</v>
          </cell>
          <cell r="E14">
            <v>156.71</v>
          </cell>
          <cell r="F14">
            <v>156.63999999999999</v>
          </cell>
          <cell r="G14">
            <v>156.41999999999999</v>
          </cell>
          <cell r="H14">
            <v>156.43</v>
          </cell>
          <cell r="I14">
            <v>156.88999999999999</v>
          </cell>
          <cell r="J14">
            <v>156.03</v>
          </cell>
          <cell r="K14">
            <v>155.49</v>
          </cell>
          <cell r="L14">
            <v>156.52000000000001</v>
          </cell>
          <cell r="M14">
            <v>156.93</v>
          </cell>
          <cell r="N14">
            <v>156.49</v>
          </cell>
          <cell r="O14">
            <v>156.31</v>
          </cell>
          <cell r="P14">
            <v>155.44999999999999</v>
          </cell>
          <cell r="Q14">
            <v>157.29</v>
          </cell>
          <cell r="R14">
            <v>154.63</v>
          </cell>
          <cell r="S14">
            <v>156.59</v>
          </cell>
          <cell r="T14">
            <v>156.24</v>
          </cell>
          <cell r="U14">
            <v>156.49</v>
          </cell>
          <cell r="V14">
            <v>156.56</v>
          </cell>
          <cell r="W14">
            <v>156.16999999999999</v>
          </cell>
          <cell r="X14">
            <v>156.69999999999999</v>
          </cell>
          <cell r="Y14">
            <v>154.41999999999999</v>
          </cell>
          <cell r="Z14">
            <v>156.65</v>
          </cell>
          <cell r="AA14">
            <v>156.29</v>
          </cell>
          <cell r="AB14">
            <v>156.07</v>
          </cell>
          <cell r="AC14">
            <v>155.04</v>
          </cell>
          <cell r="AD14">
            <v>156.4</v>
          </cell>
          <cell r="AE14">
            <v>156.76</v>
          </cell>
          <cell r="AF14">
            <v>155.22</v>
          </cell>
        </row>
        <row r="15">
          <cell r="B15">
            <v>147.22999999999999</v>
          </cell>
          <cell r="C15">
            <v>146.97999999999999</v>
          </cell>
          <cell r="D15">
            <v>147.41</v>
          </cell>
          <cell r="E15">
            <v>147.58000000000001</v>
          </cell>
          <cell r="F15">
            <v>147.30000000000001</v>
          </cell>
          <cell r="G15">
            <v>147.1</v>
          </cell>
          <cell r="H15">
            <v>147.26</v>
          </cell>
          <cell r="I15">
            <v>147.04</v>
          </cell>
          <cell r="J15">
            <v>147.36000000000001</v>
          </cell>
          <cell r="K15">
            <v>147.29</v>
          </cell>
          <cell r="L15">
            <v>147.22</v>
          </cell>
          <cell r="M15">
            <v>147.16999999999999</v>
          </cell>
          <cell r="N15">
            <v>147.03</v>
          </cell>
          <cell r="O15">
            <v>147.30000000000001</v>
          </cell>
          <cell r="P15">
            <v>147.13</v>
          </cell>
          <cell r="Q15">
            <v>147.13</v>
          </cell>
          <cell r="R15">
            <v>147.24</v>
          </cell>
          <cell r="S15">
            <v>147.26</v>
          </cell>
          <cell r="T15">
            <v>147.57</v>
          </cell>
          <cell r="U15">
            <v>147.68</v>
          </cell>
          <cell r="V15">
            <v>147.69999999999999</v>
          </cell>
          <cell r="W15">
            <v>147.69999999999999</v>
          </cell>
          <cell r="X15">
            <v>147.47999999999999</v>
          </cell>
          <cell r="Y15">
            <v>147.29</v>
          </cell>
          <cell r="Z15">
            <v>147.46</v>
          </cell>
          <cell r="AA15">
            <v>147.33000000000001</v>
          </cell>
          <cell r="AB15">
            <v>146.52000000000001</v>
          </cell>
          <cell r="AC15">
            <v>147.33000000000001</v>
          </cell>
          <cell r="AD15">
            <v>147.6</v>
          </cell>
          <cell r="AE15">
            <v>147.77000000000001</v>
          </cell>
          <cell r="AF15">
            <v>147.76</v>
          </cell>
        </row>
        <row r="16">
          <cell r="B16">
            <v>160.77000000000001</v>
          </cell>
          <cell r="C16">
            <v>161.19999999999999</v>
          </cell>
          <cell r="D16">
            <v>159.77000000000001</v>
          </cell>
          <cell r="E16">
            <v>161.02000000000001</v>
          </cell>
          <cell r="F16">
            <v>161.09</v>
          </cell>
          <cell r="G16">
            <v>161.1</v>
          </cell>
          <cell r="H16">
            <v>161.11000000000001</v>
          </cell>
          <cell r="I16">
            <v>160.96</v>
          </cell>
          <cell r="J16">
            <v>160.16999999999999</v>
          </cell>
          <cell r="K16">
            <v>160</v>
          </cell>
          <cell r="L16">
            <v>161.09</v>
          </cell>
          <cell r="M16">
            <v>161.02000000000001</v>
          </cell>
          <cell r="N16">
            <v>160.91999999999999</v>
          </cell>
          <cell r="O16">
            <v>160.86000000000001</v>
          </cell>
          <cell r="P16">
            <v>159.44</v>
          </cell>
          <cell r="Q16">
            <v>161.09</v>
          </cell>
          <cell r="R16">
            <v>160.29</v>
          </cell>
          <cell r="S16">
            <v>161.07</v>
          </cell>
          <cell r="T16">
            <v>161.32</v>
          </cell>
          <cell r="U16">
            <v>161.59</v>
          </cell>
          <cell r="V16">
            <v>161.51</v>
          </cell>
          <cell r="W16">
            <v>161.66</v>
          </cell>
          <cell r="X16">
            <v>161.72999999999999</v>
          </cell>
          <cell r="Y16">
            <v>160.6</v>
          </cell>
          <cell r="Z16">
            <v>161.68</v>
          </cell>
          <cell r="AA16">
            <v>161.65</v>
          </cell>
          <cell r="AB16">
            <v>161.80000000000001</v>
          </cell>
          <cell r="AC16">
            <v>161.16</v>
          </cell>
          <cell r="AD16">
            <v>162.09</v>
          </cell>
          <cell r="AE16">
            <v>162.06</v>
          </cell>
          <cell r="AF16">
            <v>160.96</v>
          </cell>
        </row>
        <row r="17">
          <cell r="B17">
            <v>130.26</v>
          </cell>
          <cell r="C17">
            <v>130.63</v>
          </cell>
          <cell r="D17">
            <v>130.19</v>
          </cell>
          <cell r="E17">
            <v>130.44999999999999</v>
          </cell>
          <cell r="F17">
            <v>130.22999999999999</v>
          </cell>
          <cell r="G17">
            <v>130.38</v>
          </cell>
          <cell r="H17">
            <v>130.58000000000001</v>
          </cell>
          <cell r="I17">
            <v>130.63</v>
          </cell>
          <cell r="J17">
            <v>130.13</v>
          </cell>
          <cell r="K17">
            <v>131.30000000000001</v>
          </cell>
          <cell r="L17">
            <v>130.71</v>
          </cell>
          <cell r="M17">
            <v>130.53</v>
          </cell>
          <cell r="N17">
            <v>130.46</v>
          </cell>
          <cell r="O17">
            <v>130.74</v>
          </cell>
          <cell r="P17">
            <v>130.24</v>
          </cell>
          <cell r="Q17">
            <v>131.47</v>
          </cell>
          <cell r="R17">
            <v>130.41</v>
          </cell>
          <cell r="S17">
            <v>131.19</v>
          </cell>
          <cell r="T17">
            <v>131.24</v>
          </cell>
          <cell r="U17">
            <v>131.38</v>
          </cell>
          <cell r="V17">
            <v>131.54</v>
          </cell>
          <cell r="W17">
            <v>131.55000000000001</v>
          </cell>
          <cell r="X17">
            <v>131.53</v>
          </cell>
          <cell r="Y17">
            <v>131.47</v>
          </cell>
          <cell r="Z17">
            <v>131.58000000000001</v>
          </cell>
          <cell r="AA17">
            <v>131.81</v>
          </cell>
          <cell r="AB17">
            <v>132.54</v>
          </cell>
          <cell r="AC17">
            <v>131.06</v>
          </cell>
          <cell r="AD17">
            <v>131.80000000000001</v>
          </cell>
          <cell r="AE17">
            <v>131.94999999999999</v>
          </cell>
          <cell r="AF17">
            <v>131.96</v>
          </cell>
        </row>
        <row r="18">
          <cell r="B18">
            <v>56.32</v>
          </cell>
          <cell r="C18">
            <v>56.05</v>
          </cell>
          <cell r="D18">
            <v>55.33</v>
          </cell>
          <cell r="E18">
            <v>56.37</v>
          </cell>
          <cell r="F18">
            <v>56.38</v>
          </cell>
          <cell r="G18">
            <v>56.33</v>
          </cell>
          <cell r="H18">
            <v>56.35</v>
          </cell>
          <cell r="I18">
            <v>56.48</v>
          </cell>
          <cell r="J18">
            <v>57.05</v>
          </cell>
          <cell r="K18">
            <v>55.63</v>
          </cell>
          <cell r="L18">
            <v>56.2</v>
          </cell>
          <cell r="M18">
            <v>56.35</v>
          </cell>
          <cell r="N18">
            <v>56.31</v>
          </cell>
          <cell r="O18">
            <v>56.41</v>
          </cell>
          <cell r="P18">
            <v>56.43</v>
          </cell>
          <cell r="Q18">
            <v>56.69</v>
          </cell>
          <cell r="R18">
            <v>55.07</v>
          </cell>
          <cell r="S18">
            <v>56.64</v>
          </cell>
          <cell r="T18">
            <v>56.51</v>
          </cell>
          <cell r="U18">
            <v>56.56</v>
          </cell>
          <cell r="V18">
            <v>56.52</v>
          </cell>
          <cell r="W18">
            <v>56.4</v>
          </cell>
          <cell r="X18">
            <v>56.45</v>
          </cell>
          <cell r="Y18">
            <v>55.69</v>
          </cell>
          <cell r="Z18">
            <v>56.5</v>
          </cell>
          <cell r="AA18">
            <v>56.52</v>
          </cell>
          <cell r="AB18">
            <v>56.94</v>
          </cell>
          <cell r="AC18">
            <v>56.3</v>
          </cell>
          <cell r="AD18">
            <v>56.72</v>
          </cell>
          <cell r="AE18">
            <v>56.31</v>
          </cell>
          <cell r="AF18">
            <v>55.76</v>
          </cell>
        </row>
        <row r="19">
          <cell r="B19">
            <v>272.36</v>
          </cell>
          <cell r="C19">
            <v>269.22000000000003</v>
          </cell>
          <cell r="D19">
            <v>264.81</v>
          </cell>
          <cell r="E19">
            <v>272.29000000000002</v>
          </cell>
          <cell r="F19">
            <v>273.67</v>
          </cell>
          <cell r="G19">
            <v>273.02</v>
          </cell>
          <cell r="H19">
            <v>272.20999999999998</v>
          </cell>
          <cell r="I19">
            <v>272.02</v>
          </cell>
          <cell r="J19">
            <v>274.08999999999997</v>
          </cell>
          <cell r="K19">
            <v>268.10000000000002</v>
          </cell>
          <cell r="L19">
            <v>271.95999999999998</v>
          </cell>
          <cell r="M19">
            <v>273.18</v>
          </cell>
          <cell r="N19">
            <v>271.25</v>
          </cell>
          <cell r="O19">
            <v>271.89999999999998</v>
          </cell>
          <cell r="P19">
            <v>269.63</v>
          </cell>
          <cell r="Q19">
            <v>268.01</v>
          </cell>
          <cell r="R19">
            <v>263.39999999999998</v>
          </cell>
          <cell r="S19">
            <v>272.68</v>
          </cell>
          <cell r="T19">
            <v>272.52999999999997</v>
          </cell>
          <cell r="U19">
            <v>272.26</v>
          </cell>
          <cell r="V19">
            <v>272.3</v>
          </cell>
          <cell r="W19">
            <v>271.22000000000003</v>
          </cell>
          <cell r="X19">
            <v>270.62</v>
          </cell>
          <cell r="Y19">
            <v>264.83</v>
          </cell>
          <cell r="Z19">
            <v>272.45999999999998</v>
          </cell>
          <cell r="AA19">
            <v>273.5</v>
          </cell>
          <cell r="AB19">
            <v>271.39999999999998</v>
          </cell>
          <cell r="AC19">
            <v>272.08</v>
          </cell>
          <cell r="AD19">
            <v>273.29000000000002</v>
          </cell>
          <cell r="AE19">
            <v>270.81</v>
          </cell>
          <cell r="AF19">
            <v>266.42</v>
          </cell>
        </row>
        <row r="20">
          <cell r="B20">
            <v>21.44</v>
          </cell>
          <cell r="C20">
            <v>21.13</v>
          </cell>
          <cell r="D20">
            <v>21.2</v>
          </cell>
          <cell r="E20">
            <v>21.37</v>
          </cell>
          <cell r="F20">
            <v>21.46</v>
          </cell>
          <cell r="G20">
            <v>21.39</v>
          </cell>
          <cell r="H20">
            <v>21.36</v>
          </cell>
          <cell r="I20">
            <v>21.29</v>
          </cell>
          <cell r="J20">
            <v>21.29</v>
          </cell>
          <cell r="K20">
            <v>21.46</v>
          </cell>
          <cell r="L20">
            <v>21.41</v>
          </cell>
          <cell r="M20">
            <v>21.43</v>
          </cell>
          <cell r="N20">
            <v>21.42</v>
          </cell>
          <cell r="O20">
            <v>21.33</v>
          </cell>
          <cell r="P20">
            <v>21.52</v>
          </cell>
          <cell r="Q20">
            <v>20.94</v>
          </cell>
          <cell r="R20">
            <v>21.12</v>
          </cell>
          <cell r="S20">
            <v>21.34</v>
          </cell>
          <cell r="T20">
            <v>21.33</v>
          </cell>
          <cell r="U20">
            <v>21.35</v>
          </cell>
          <cell r="V20">
            <v>21.41</v>
          </cell>
          <cell r="W20">
            <v>21.39</v>
          </cell>
          <cell r="X20">
            <v>21.19</v>
          </cell>
          <cell r="Y20">
            <v>21.43</v>
          </cell>
          <cell r="Z20">
            <v>21.4</v>
          </cell>
          <cell r="AA20">
            <v>21.45</v>
          </cell>
          <cell r="AB20">
            <v>21.29</v>
          </cell>
          <cell r="AC20">
            <v>21.37</v>
          </cell>
          <cell r="AD20">
            <v>21.34</v>
          </cell>
          <cell r="AE20">
            <v>21.31</v>
          </cell>
          <cell r="AF20">
            <v>21.36</v>
          </cell>
        </row>
        <row r="21">
          <cell r="B21">
            <v>25.7</v>
          </cell>
          <cell r="C21">
            <v>25.62</v>
          </cell>
          <cell r="D21">
            <v>25.04</v>
          </cell>
          <cell r="E21">
            <v>25.89</v>
          </cell>
          <cell r="F21">
            <v>25.87</v>
          </cell>
          <cell r="G21">
            <v>25.75</v>
          </cell>
          <cell r="H21">
            <v>25.69</v>
          </cell>
          <cell r="I21">
            <v>25.68</v>
          </cell>
          <cell r="J21">
            <v>25.48</v>
          </cell>
          <cell r="K21">
            <v>25.12</v>
          </cell>
          <cell r="L21">
            <v>25.72</v>
          </cell>
          <cell r="M21">
            <v>25.8</v>
          </cell>
          <cell r="N21">
            <v>25.69</v>
          </cell>
          <cell r="O21">
            <v>25.78</v>
          </cell>
          <cell r="P21">
            <v>25.4</v>
          </cell>
          <cell r="Q21">
            <v>25.72</v>
          </cell>
          <cell r="R21">
            <v>25.1</v>
          </cell>
          <cell r="S21">
            <v>25.75</v>
          </cell>
          <cell r="T21">
            <v>25.71</v>
          </cell>
          <cell r="U21">
            <v>25.64</v>
          </cell>
          <cell r="V21">
            <v>25.71</v>
          </cell>
          <cell r="W21">
            <v>25.76</v>
          </cell>
          <cell r="X21">
            <v>25.57</v>
          </cell>
          <cell r="Y21">
            <v>24.81</v>
          </cell>
          <cell r="Z21">
            <v>25.7</v>
          </cell>
          <cell r="AA21">
            <v>25.71</v>
          </cell>
          <cell r="AB21">
            <v>24.86</v>
          </cell>
          <cell r="AC21">
            <v>25.19</v>
          </cell>
          <cell r="AD21">
            <v>25.69</v>
          </cell>
          <cell r="AE21">
            <v>25.43</v>
          </cell>
          <cell r="AF21">
            <v>24.85</v>
          </cell>
        </row>
        <row r="22">
          <cell r="B22">
            <v>28.24</v>
          </cell>
          <cell r="C22">
            <v>27.88</v>
          </cell>
          <cell r="D22">
            <v>26.98</v>
          </cell>
          <cell r="E22">
            <v>28.26</v>
          </cell>
          <cell r="F22">
            <v>28.41</v>
          </cell>
          <cell r="G22">
            <v>28.24</v>
          </cell>
          <cell r="H22">
            <v>28.25</v>
          </cell>
          <cell r="I22">
            <v>28.29</v>
          </cell>
          <cell r="J22">
            <v>28.36</v>
          </cell>
          <cell r="K22">
            <v>27.02</v>
          </cell>
          <cell r="L22">
            <v>28.09</v>
          </cell>
          <cell r="M22">
            <v>28.18</v>
          </cell>
          <cell r="N22">
            <v>28.11</v>
          </cell>
          <cell r="O22">
            <v>28.35</v>
          </cell>
          <cell r="P22">
            <v>27.41</v>
          </cell>
          <cell r="Q22">
            <v>28.09</v>
          </cell>
          <cell r="R22">
            <v>26.86</v>
          </cell>
          <cell r="S22">
            <v>28.6</v>
          </cell>
          <cell r="T22">
            <v>28.64</v>
          </cell>
          <cell r="U22">
            <v>28.66</v>
          </cell>
          <cell r="V22">
            <v>28.72</v>
          </cell>
          <cell r="W22">
            <v>28.58</v>
          </cell>
          <cell r="X22">
            <v>28.41</v>
          </cell>
          <cell r="Y22">
            <v>27.37</v>
          </cell>
          <cell r="Z22">
            <v>28.67</v>
          </cell>
          <cell r="AA22">
            <v>28.68</v>
          </cell>
          <cell r="AB22">
            <v>28.55</v>
          </cell>
          <cell r="AC22">
            <v>28.56</v>
          </cell>
          <cell r="AD22">
            <v>28.71</v>
          </cell>
          <cell r="AE22">
            <v>28.42</v>
          </cell>
          <cell r="AF22">
            <v>27.29</v>
          </cell>
        </row>
        <row r="23">
          <cell r="B23">
            <v>48.77</v>
          </cell>
          <cell r="C23">
            <v>48.51</v>
          </cell>
          <cell r="D23">
            <v>48.89</v>
          </cell>
          <cell r="E23">
            <v>49.55</v>
          </cell>
          <cell r="F23">
            <v>49.91</v>
          </cell>
          <cell r="G23">
            <v>50.88</v>
          </cell>
          <cell r="H23">
            <v>51.74</v>
          </cell>
          <cell r="I23">
            <v>52.27</v>
          </cell>
          <cell r="J23">
            <v>52.71</v>
          </cell>
          <cell r="K23">
            <v>52.54</v>
          </cell>
          <cell r="L23">
            <v>52.61</v>
          </cell>
          <cell r="M23">
            <v>53.23</v>
          </cell>
          <cell r="N23">
            <v>53.26</v>
          </cell>
          <cell r="O23">
            <v>53.54</v>
          </cell>
          <cell r="P23">
            <v>53.74</v>
          </cell>
          <cell r="Q23">
            <v>53.43</v>
          </cell>
          <cell r="R23">
            <v>52.68</v>
          </cell>
          <cell r="S23">
            <v>54.26</v>
          </cell>
          <cell r="T23">
            <v>54.64</v>
          </cell>
          <cell r="U23">
            <v>55.27</v>
          </cell>
          <cell r="V23">
            <v>55.49</v>
          </cell>
          <cell r="W23">
            <v>55.2</v>
          </cell>
          <cell r="X23">
            <v>55.13</v>
          </cell>
          <cell r="Y23">
            <v>54.1</v>
          </cell>
          <cell r="Z23">
            <v>55.33</v>
          </cell>
          <cell r="AA23">
            <v>54.68</v>
          </cell>
          <cell r="AB23">
            <v>54.75</v>
          </cell>
          <cell r="AC23">
            <v>53.38</v>
          </cell>
          <cell r="AD23">
            <v>52.59</v>
          </cell>
          <cell r="AE23">
            <v>50.99</v>
          </cell>
          <cell r="AF23">
            <v>48.86</v>
          </cell>
        </row>
      </sheetData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52BFB-0824-48E5-BFC2-5DC3A30C5389}">
  <dimension ref="A1:J23"/>
  <sheetViews>
    <sheetView workbookViewId="0">
      <selection activeCell="A11" sqref="A11:XFD11"/>
    </sheetView>
  </sheetViews>
  <sheetFormatPr defaultRowHeight="14.5" x14ac:dyDescent="0.35"/>
  <sheetData>
    <row r="1" spans="1:10" x14ac:dyDescent="0.35">
      <c r="A1" s="1" t="s">
        <v>0</v>
      </c>
      <c r="B1" s="2">
        <v>45108</v>
      </c>
      <c r="C1" s="2">
        <v>45474</v>
      </c>
      <c r="D1" s="2">
        <v>45839</v>
      </c>
      <c r="E1" s="2">
        <v>45139</v>
      </c>
      <c r="F1" s="2">
        <v>45505</v>
      </c>
      <c r="G1" s="2">
        <v>45870</v>
      </c>
      <c r="H1" s="2">
        <v>45170</v>
      </c>
      <c r="I1" s="2">
        <v>45536</v>
      </c>
      <c r="J1" s="2">
        <v>45901</v>
      </c>
    </row>
    <row r="2" spans="1:10" x14ac:dyDescent="0.35">
      <c r="A2" s="1" t="s">
        <v>1</v>
      </c>
      <c r="B2" s="16">
        <v>40.520000000000003</v>
      </c>
      <c r="C2" s="3">
        <f>AVERAGE('[1]July 2024'!B2:AF2)</f>
        <v>44.542258064516133</v>
      </c>
      <c r="D2" s="3">
        <f>AVERAGE('[1]July 2025'!B2:AF2)</f>
        <v>42.512258064516132</v>
      </c>
      <c r="E2" s="3">
        <v>41.556666666666665</v>
      </c>
      <c r="F2" s="3">
        <f>AVERAGE('[1]Aug 2024'!B2:AF2)</f>
        <v>43.64709677419355</v>
      </c>
      <c r="G2" s="3">
        <f>AVERAGE('[1]Aug 2025'!B2:AF2)</f>
        <v>42.595806451612901</v>
      </c>
      <c r="H2" s="3">
        <v>42.106666666666662</v>
      </c>
      <c r="I2">
        <f>AVERAGE('[1]Sept 2024'!B2:D2)</f>
        <v>43.22</v>
      </c>
      <c r="J2">
        <f>AVERAGE('[1]Sept 2025'!B2:D2)</f>
        <v>43.076666666666675</v>
      </c>
    </row>
    <row r="3" spans="1:10" x14ac:dyDescent="0.35">
      <c r="A3" s="1" t="s">
        <v>2</v>
      </c>
      <c r="B3" s="16">
        <v>29.49666666666667</v>
      </c>
      <c r="C3" s="3">
        <f>AVERAGE('[1]July 2024'!B3:AF3)</f>
        <v>31.243870967741927</v>
      </c>
      <c r="D3" s="3">
        <f>AVERAGE('[1]July 2025'!B3:AF3)</f>
        <v>31.323870967741943</v>
      </c>
      <c r="E3" s="3">
        <v>29.74</v>
      </c>
      <c r="F3" s="3">
        <f>AVERAGE('[1]Aug 2024'!B3:AF3)</f>
        <v>30.822580645161295</v>
      </c>
      <c r="G3" s="3">
        <f>AVERAGE('[1]Aug 2025'!B3:AF3)</f>
        <v>31.563870967741931</v>
      </c>
      <c r="H3" s="3">
        <v>30.063333333333333</v>
      </c>
      <c r="I3">
        <f>AVERAGE('[1]Sept 2024'!B3:D3)</f>
        <v>31.186666666666667</v>
      </c>
      <c r="J3">
        <f>AVERAGE('[1]Sept 2025'!B3:D3)</f>
        <v>31.716666666666669</v>
      </c>
    </row>
    <row r="4" spans="1:10" x14ac:dyDescent="0.35">
      <c r="A4" s="1" t="s">
        <v>3</v>
      </c>
      <c r="B4" s="16">
        <v>34.843333333333334</v>
      </c>
      <c r="C4" s="3">
        <f>AVERAGE('[1]July 2024'!B4:AF4)</f>
        <v>36.109677419354846</v>
      </c>
      <c r="D4" s="3">
        <f>AVERAGE('[1]July 2025'!B4:AF4)</f>
        <v>36.728709677419353</v>
      </c>
      <c r="E4" s="3">
        <v>35.056666666666665</v>
      </c>
      <c r="F4" s="3">
        <f>AVERAGE('[1]Aug 2024'!B4:AF4)</f>
        <v>35.740322580645149</v>
      </c>
      <c r="G4" s="3">
        <f>AVERAGE('[1]Aug 2025'!B4:AF4)</f>
        <v>36.898709677419362</v>
      </c>
      <c r="H4" s="3">
        <v>35.449999999999996</v>
      </c>
      <c r="I4">
        <f>AVERAGE('[1]Sept 2024'!B4:D4)</f>
        <v>36.24666666666667</v>
      </c>
      <c r="J4">
        <f>AVERAGE('[1]Sept 2025'!B4:D4)</f>
        <v>36.96</v>
      </c>
    </row>
    <row r="5" spans="1:10" x14ac:dyDescent="0.35">
      <c r="A5" s="1" t="s">
        <v>4</v>
      </c>
      <c r="B5" s="16">
        <v>74.983333333333334</v>
      </c>
      <c r="C5" s="3">
        <f>AVERAGE('[1]July 2024'!B5:AF5)</f>
        <v>88.793225806451602</v>
      </c>
      <c r="D5" s="3">
        <f>AVERAGE('[1]July 2025'!B5:AF5)</f>
        <v>85.961290322580638</v>
      </c>
      <c r="E5" s="3">
        <v>76.25333333333333</v>
      </c>
      <c r="F5" s="3">
        <f>AVERAGE('[1]Aug 2024'!B5:AF5)</f>
        <v>89.452258064516144</v>
      </c>
      <c r="G5" s="3">
        <f>AVERAGE('[1]Aug 2025'!B5:AF5)</f>
        <v>86.926451612903222</v>
      </c>
      <c r="H5" s="3">
        <v>80.293333333333337</v>
      </c>
      <c r="I5">
        <f>AVERAGE('[1]Sept 2024'!B5:D5)</f>
        <v>90.233333333333334</v>
      </c>
      <c r="J5">
        <f>AVERAGE('[1]Sept 2025'!B5:D5)</f>
        <v>87.280000000000015</v>
      </c>
    </row>
    <row r="6" spans="1:10" x14ac:dyDescent="0.35">
      <c r="A6" s="1" t="s">
        <v>5</v>
      </c>
      <c r="B6" s="16">
        <v>134.21666666666667</v>
      </c>
      <c r="C6" s="3">
        <f>AVERAGE('[1]July 2024'!B6:AF6)</f>
        <v>167.24096774193546</v>
      </c>
      <c r="D6" s="3">
        <f>AVERAGE('[1]July 2025'!B6:AF6)</f>
        <v>119.66935483870967</v>
      </c>
      <c r="E6" s="3">
        <v>138.14666666666665</v>
      </c>
      <c r="F6" s="3">
        <f>AVERAGE('[1]Aug 2024'!B6:AF6)</f>
        <v>165.60129032258061</v>
      </c>
      <c r="G6" s="3">
        <f>AVERAGE('[1]Aug 2025'!B6:AF6)</f>
        <v>117.49225806451614</v>
      </c>
      <c r="H6" s="3">
        <v>146.02333333333331</v>
      </c>
      <c r="I6">
        <f>AVERAGE('[1]Sept 2024'!B6:D6)</f>
        <v>147.52333333333334</v>
      </c>
      <c r="J6">
        <f>AVERAGE('[1]Sept 2025'!B6:D6)</f>
        <v>116.38</v>
      </c>
    </row>
    <row r="7" spans="1:10" x14ac:dyDescent="0.35">
      <c r="A7" s="1" t="s">
        <v>6</v>
      </c>
      <c r="B7" s="16">
        <v>113.63333333333333</v>
      </c>
      <c r="C7" s="3">
        <f>AVERAGE('[1]July 2024'!B7:AF7)</f>
        <v>127.05999999999999</v>
      </c>
      <c r="D7" s="3">
        <f>AVERAGE('[1]July 2025'!B7:AF7)</f>
        <v>115.04193548387097</v>
      </c>
      <c r="E7" s="3">
        <v>114.95333333333333</v>
      </c>
      <c r="F7" s="3">
        <f>AVERAGE('[1]Aug 2024'!B7:AF7)</f>
        <v>125.41677419354838</v>
      </c>
      <c r="G7" s="3">
        <f>AVERAGE('[1]Aug 2025'!B7:AF7)</f>
        <v>114.33225806451615</v>
      </c>
      <c r="H7" s="3">
        <v>117.07666666666667</v>
      </c>
      <c r="I7">
        <f>AVERAGE('[1]Sept 2024'!B7:D7)</f>
        <v>120.79</v>
      </c>
      <c r="J7">
        <f>AVERAGE('[1]Sept 2025'!B7:D7)</f>
        <v>114.17</v>
      </c>
    </row>
    <row r="8" spans="1:10" x14ac:dyDescent="0.35">
      <c r="A8" s="1" t="s">
        <v>7</v>
      </c>
      <c r="B8" s="16">
        <v>110.61000000000001</v>
      </c>
      <c r="C8" s="3">
        <f>AVERAGE('[1]July 2024'!B8:AF8)</f>
        <v>118.32870967741935</v>
      </c>
      <c r="D8" s="3">
        <f>AVERAGE('[1]July 2025'!B8:AF8)</f>
        <v>110.4835483870968</v>
      </c>
      <c r="E8" s="3">
        <v>111.29333333333334</v>
      </c>
      <c r="F8" s="3">
        <f>AVERAGE('[1]Aug 2024'!B8:AF8)</f>
        <v>116.3467741935484</v>
      </c>
      <c r="G8" s="3">
        <f>AVERAGE('[1]Aug 2025'!B8:AF8)</f>
        <v>110.29322580645162</v>
      </c>
      <c r="H8" s="3">
        <v>113.44666666666667</v>
      </c>
      <c r="I8">
        <f>AVERAGE('[1]Sept 2024'!B8:D8)</f>
        <v>113.18666666666667</v>
      </c>
      <c r="J8">
        <f>AVERAGE('[1]Sept 2025'!B8:D8)</f>
        <v>110.48333333333335</v>
      </c>
    </row>
    <row r="9" spans="1:10" x14ac:dyDescent="0.35">
      <c r="A9" s="1" t="s">
        <v>8</v>
      </c>
      <c r="B9" s="16">
        <v>91.926666666666677</v>
      </c>
      <c r="C9" s="3">
        <f>AVERAGE('[1]July 2024'!B9:AF9)</f>
        <v>93.229354838709668</v>
      </c>
      <c r="D9" s="3">
        <f>AVERAGE('[1]July 2025'!B9:AF9)</f>
        <v>88.076774193548388</v>
      </c>
      <c r="E9" s="3">
        <v>92.143333333333331</v>
      </c>
      <c r="F9" s="3">
        <f>AVERAGE('[1]Aug 2024'!B9:AF9)</f>
        <v>90.226774193548408</v>
      </c>
      <c r="G9" s="3">
        <f>AVERAGE('[1]Aug 2025'!B9:AF9)</f>
        <v>88.914193548387118</v>
      </c>
      <c r="H9" s="3">
        <v>93.193333333333342</v>
      </c>
      <c r="I9">
        <f>AVERAGE('[1]Sept 2024'!B9:D9)</f>
        <v>89.293333333333337</v>
      </c>
      <c r="J9">
        <f>AVERAGE('[1]Sept 2025'!B9:D9)</f>
        <v>89.576666666666668</v>
      </c>
    </row>
    <row r="10" spans="1:10" x14ac:dyDescent="0.35">
      <c r="A10" s="1" t="s">
        <v>9</v>
      </c>
      <c r="B10" s="16">
        <v>43</v>
      </c>
      <c r="C10" s="3">
        <f>AVERAGE('[1]July 2024'!B10:AF10)</f>
        <v>44.850322580645141</v>
      </c>
      <c r="D10" s="3">
        <f>AVERAGE('[1]July 2025'!B10:AF10)</f>
        <v>45.926129032258075</v>
      </c>
      <c r="E10" s="3">
        <v>43.21</v>
      </c>
      <c r="F10" s="3">
        <f>AVERAGE('[1]Aug 2024'!B10:AF10)</f>
        <v>44.816451612903229</v>
      </c>
      <c r="G10" s="3">
        <f>AVERAGE('[1]Aug 2025'!B10:AF10)</f>
        <v>46.18322580645161</v>
      </c>
      <c r="H10" s="3">
        <v>43.576666666666661</v>
      </c>
      <c r="I10">
        <f>AVERAGE('[1]Sept 2024'!B10:D10)</f>
        <v>45.036666666666669</v>
      </c>
      <c r="J10">
        <f>AVERAGE('[1]Sept 2025'!B10:D10)</f>
        <v>46.443333333333328</v>
      </c>
    </row>
    <row r="11" spans="1:10" x14ac:dyDescent="0.35">
      <c r="A11" s="1" t="s">
        <v>10</v>
      </c>
      <c r="B11" s="16">
        <v>57.853333333333332</v>
      </c>
      <c r="C11" s="3">
        <f>AVERAGE('[1]July 2024'!B11:AF11)</f>
        <v>59.205161290322586</v>
      </c>
      <c r="D11" s="3">
        <f>AVERAGE('[1]July 2025'!B11:AF11)</f>
        <v>59.017096774193547</v>
      </c>
      <c r="E11" s="3">
        <v>57.873333333333335</v>
      </c>
      <c r="F11" s="3">
        <f>AVERAGE('[1]Aug 2024'!B11:AF11)</f>
        <v>59.199677419354835</v>
      </c>
      <c r="G11" s="3">
        <f>AVERAGE('[1]Aug 2025'!B11:AF11)</f>
        <v>59.062903225806451</v>
      </c>
      <c r="H11" s="3">
        <v>58.193333333333328</v>
      </c>
      <c r="I11">
        <f>AVERAGE('[1]Sept 2024'!B11:D11)</f>
        <v>58.669999999999995</v>
      </c>
      <c r="J11">
        <f>AVERAGE('[1]Sept 2025'!B11:D11)</f>
        <v>59.336666666666666</v>
      </c>
    </row>
    <row r="12" spans="1:10" x14ac:dyDescent="0.35">
      <c r="A12" s="1" t="s">
        <v>11</v>
      </c>
      <c r="B12" s="16">
        <v>189.66333333333333</v>
      </c>
      <c r="C12" s="3">
        <f>AVERAGE('[1]July 2024'!B12:AF12)</f>
        <v>187.97903225806454</v>
      </c>
      <c r="D12" s="3">
        <f>AVERAGE('[1]July 2025'!B12:AF12)</f>
        <v>187.81258064516132</v>
      </c>
      <c r="E12" s="3">
        <v>190.08333333333334</v>
      </c>
      <c r="F12" s="3">
        <f>AVERAGE('[1]Aug 2024'!B12:AF12)</f>
        <v>184.01322580645163</v>
      </c>
      <c r="G12" s="3">
        <f>AVERAGE('[1]Aug 2025'!B12:AF12)</f>
        <v>187.97129032258067</v>
      </c>
      <c r="H12" s="3">
        <v>192.33666666666667</v>
      </c>
      <c r="I12">
        <f>AVERAGE('[1]Sept 2024'!B12:D12)</f>
        <v>182.61333333333334</v>
      </c>
      <c r="J12">
        <f>AVERAGE('[1]Sept 2025'!B12:D12)</f>
        <v>188.04666666666665</v>
      </c>
    </row>
    <row r="13" spans="1:10" x14ac:dyDescent="0.35">
      <c r="A13" s="1" t="s">
        <v>12</v>
      </c>
      <c r="B13" s="16">
        <v>140.73666666666665</v>
      </c>
      <c r="C13" s="3">
        <f>AVERAGE('[1]July 2024'!B13:AF13)</f>
        <v>140.55903225806452</v>
      </c>
      <c r="D13" s="3">
        <f>AVERAGE('[1]July 2025'!B13:AF13)</f>
        <v>178.87580645161296</v>
      </c>
      <c r="E13" s="3">
        <v>140.34</v>
      </c>
      <c r="F13" s="3">
        <f>AVERAGE('[1]Aug 2024'!B13:AF13)</f>
        <v>139.85387096774195</v>
      </c>
      <c r="G13" s="3">
        <f>AVERAGE('[1]Aug 2025'!B13:AF13)</f>
        <v>187.32935483870963</v>
      </c>
      <c r="H13" s="3">
        <v>140.02666666666667</v>
      </c>
      <c r="I13">
        <f>AVERAGE('[1]Sept 2024'!B13:D13)</f>
        <v>156.50333333333333</v>
      </c>
      <c r="J13">
        <f>AVERAGE('[1]Sept 2025'!B13:D13)</f>
        <v>188.23000000000002</v>
      </c>
    </row>
    <row r="14" spans="1:10" x14ac:dyDescent="0.35">
      <c r="A14" s="1" t="s">
        <v>13</v>
      </c>
      <c r="B14" s="16">
        <v>130.15</v>
      </c>
      <c r="C14" s="3">
        <f>AVERAGE('[1]July 2024'!B14:AF14)</f>
        <v>125.6951612903226</v>
      </c>
      <c r="D14" s="3">
        <f>AVERAGE('[1]July 2025'!B14:AF14)</f>
        <v>156.01645161290324</v>
      </c>
      <c r="E14" s="3">
        <v>128.67666666666668</v>
      </c>
      <c r="F14" s="3">
        <f>AVERAGE('[1]Aug 2024'!B14:AF14)</f>
        <v>123.3458064516129</v>
      </c>
      <c r="G14" s="3">
        <f>AVERAGE('[1]Aug 2025'!B14:AF14)</f>
        <v>156.19483870967738</v>
      </c>
      <c r="H14" s="3">
        <v>128.57333333333335</v>
      </c>
      <c r="I14">
        <f>AVERAGE('[1]Sept 2024'!B14:D14)</f>
        <v>133.57</v>
      </c>
      <c r="J14">
        <f>AVERAGE('[1]Sept 2025'!B14:D14)</f>
        <v>156.82666666666665</v>
      </c>
    </row>
    <row r="15" spans="1:10" x14ac:dyDescent="0.35">
      <c r="A15" s="1" t="s">
        <v>14</v>
      </c>
      <c r="B15" s="16">
        <v>129.44666666666669</v>
      </c>
      <c r="C15" s="3">
        <f>AVERAGE('[1]July 2024'!B15:AF15)</f>
        <v>122.38677419354838</v>
      </c>
      <c r="D15" s="3">
        <f>AVERAGE('[1]July 2025'!B15:AF15)</f>
        <v>146.74096774193549</v>
      </c>
      <c r="E15" s="3">
        <v>128.25</v>
      </c>
      <c r="F15" s="3">
        <f>AVERAGE('[1]Aug 2024'!B15:AF15)</f>
        <v>119.16516129032254</v>
      </c>
      <c r="G15" s="3">
        <f>AVERAGE('[1]Aug 2025'!B15:AF15)</f>
        <v>147.32967741935488</v>
      </c>
      <c r="H15" s="3">
        <v>126.21666666666668</v>
      </c>
      <c r="I15">
        <f>AVERAGE('[1]Sept 2024'!B15:D15)</f>
        <v>127.67333333333333</v>
      </c>
      <c r="J15">
        <f>AVERAGE('[1]Sept 2025'!B15:D15)</f>
        <v>147.22999999999999</v>
      </c>
    </row>
    <row r="16" spans="1:10" x14ac:dyDescent="0.35">
      <c r="A16" s="1" t="s">
        <v>15</v>
      </c>
      <c r="B16" s="16">
        <v>130.93333333333334</v>
      </c>
      <c r="C16" s="3">
        <f>AVERAGE('[1]July 2024'!B16:AF16)</f>
        <v>122.52645161290322</v>
      </c>
      <c r="D16" s="3">
        <f>AVERAGE('[1]July 2025'!B16:AF16)</f>
        <v>160.27709677419352</v>
      </c>
      <c r="E16" s="3">
        <v>128.51666666666668</v>
      </c>
      <c r="F16" s="3">
        <f>AVERAGE('[1]Aug 2024'!B16:AF16)</f>
        <v>120.14580645161288</v>
      </c>
      <c r="G16" s="3">
        <f>AVERAGE('[1]Aug 2025'!B16:AF16)</f>
        <v>161.05741935483874</v>
      </c>
      <c r="H16" s="3">
        <v>127.05</v>
      </c>
      <c r="I16">
        <f>AVERAGE('[1]Sept 2024'!B16:D16)</f>
        <v>133.84666666666666</v>
      </c>
      <c r="J16">
        <f>AVERAGE('[1]Sept 2025'!B16:D16)</f>
        <v>162.43333333333334</v>
      </c>
    </row>
    <row r="17" spans="1:10" x14ac:dyDescent="0.35">
      <c r="A17" s="1" t="s">
        <v>16</v>
      </c>
      <c r="B17" s="16">
        <v>104.23</v>
      </c>
      <c r="C17" s="3">
        <f>AVERAGE('[1]July 2024'!B17:AF17)</f>
        <v>99.97</v>
      </c>
      <c r="D17" s="3">
        <f>AVERAGE('[1]July 2025'!B17:AF17)</f>
        <v>130.41451612903225</v>
      </c>
      <c r="E17" s="3">
        <v>103.21666666666668</v>
      </c>
      <c r="F17" s="3">
        <f>AVERAGE('[1]Aug 2024'!B17:AF17)</f>
        <v>99.064516129032256</v>
      </c>
      <c r="G17" s="3">
        <f>AVERAGE('[1]Aug 2025'!B17:AF17)</f>
        <v>131.03032258064516</v>
      </c>
      <c r="H17" s="3">
        <v>102.13</v>
      </c>
      <c r="I17">
        <f>AVERAGE('[1]Sept 2024'!B17:D17)</f>
        <v>110.67333333333333</v>
      </c>
      <c r="J17">
        <f>AVERAGE('[1]Sept 2025'!B17:D17)</f>
        <v>132.28666666666666</v>
      </c>
    </row>
    <row r="18" spans="1:10" x14ac:dyDescent="0.35">
      <c r="A18" s="1" t="s">
        <v>17</v>
      </c>
      <c r="B18" s="16">
        <v>51.303333333333335</v>
      </c>
      <c r="C18" s="3">
        <f>AVERAGE('[1]July 2024'!B18:AF18)</f>
        <v>54.771290322580654</v>
      </c>
      <c r="D18" s="3">
        <f>AVERAGE('[1]July 2025'!B18:AF18)</f>
        <v>55.730000000000004</v>
      </c>
      <c r="E18" s="3">
        <v>51.906666666666666</v>
      </c>
      <c r="F18" s="3">
        <f>AVERAGE('[1]Aug 2024'!B18:AF18)</f>
        <v>54.874193548387105</v>
      </c>
      <c r="G18" s="3">
        <f>AVERAGE('[1]Aug 2025'!B18:AF18)</f>
        <v>56.308709677419358</v>
      </c>
      <c r="H18" s="3">
        <v>52.78</v>
      </c>
      <c r="I18">
        <f>AVERAGE('[1]Sept 2024'!B18:D18)</f>
        <v>55.033333333333331</v>
      </c>
      <c r="J18">
        <f>AVERAGE('[1]Sept 2025'!B18:D18)</f>
        <v>56.96</v>
      </c>
    </row>
    <row r="19" spans="1:10" x14ac:dyDescent="0.35">
      <c r="A19" s="1" t="s">
        <v>18</v>
      </c>
      <c r="B19" s="16">
        <v>275.30333333333334</v>
      </c>
      <c r="C19" s="3">
        <f>AVERAGE('[1]July 2024'!B19:AF19)</f>
        <v>275.93709677419355</v>
      </c>
      <c r="D19" s="3">
        <f>AVERAGE('[1]July 2025'!B19:AF19)</f>
        <v>270.08548387096772</v>
      </c>
      <c r="E19" s="3">
        <v>279.04666666666662</v>
      </c>
      <c r="F19" s="3">
        <f>AVERAGE('[1]Aug 2024'!B19:AF19)</f>
        <v>268.37387096774188</v>
      </c>
      <c r="G19" s="3">
        <f>AVERAGE('[1]Aug 2025'!B19:AF19)</f>
        <v>270.88774193548386</v>
      </c>
      <c r="H19" s="3">
        <v>277.53000000000003</v>
      </c>
      <c r="I19">
        <f>AVERAGE('[1]Sept 2024'!B19:D19)</f>
        <v>263.76</v>
      </c>
      <c r="J19">
        <f>AVERAGE('[1]Sept 2025'!B19:D19)</f>
        <v>271.78666666666669</v>
      </c>
    </row>
    <row r="20" spans="1:10" x14ac:dyDescent="0.35">
      <c r="A20" s="1" t="s">
        <v>19</v>
      </c>
      <c r="B20" s="16">
        <v>21.873333333333335</v>
      </c>
      <c r="C20" s="3">
        <f>AVERAGE('[1]July 2024'!B20:AF20)</f>
        <v>22.498387096774195</v>
      </c>
      <c r="D20" s="3">
        <f>AVERAGE('[1]July 2025'!B20:AF20)</f>
        <v>21.401612903225807</v>
      </c>
      <c r="E20" s="3">
        <v>22.14</v>
      </c>
      <c r="F20" s="3">
        <f>AVERAGE('[1]Aug 2024'!B20:AF20)</f>
        <v>22.235806451612898</v>
      </c>
      <c r="G20" s="3">
        <f>AVERAGE('[1]Aug 2025'!B20:AF20)</f>
        <v>21.339354838709678</v>
      </c>
      <c r="H20" s="3">
        <v>22.19</v>
      </c>
      <c r="I20">
        <f>AVERAGE('[1]Sept 2024'!B20:D20)</f>
        <v>21.98</v>
      </c>
      <c r="J20">
        <f>AVERAGE('[1]Sept 2025'!B20:D20)</f>
        <v>21.330000000000002</v>
      </c>
    </row>
    <row r="21" spans="1:10" x14ac:dyDescent="0.35">
      <c r="A21" s="1" t="s">
        <v>20</v>
      </c>
      <c r="B21" s="16">
        <v>23.416666666666668</v>
      </c>
      <c r="C21" s="3">
        <f>AVERAGE('[1]July 2024'!B21:AF21)</f>
        <v>36.651612903225811</v>
      </c>
      <c r="D21" s="3">
        <f>AVERAGE('[1]July 2025'!B21:AF21)</f>
        <v>25.6</v>
      </c>
      <c r="E21" s="3">
        <v>24.236666666666665</v>
      </c>
      <c r="F21" s="3">
        <f>AVERAGE('[1]Aug 2024'!B21:AF21)</f>
        <v>37.192903225806447</v>
      </c>
      <c r="G21" s="3">
        <f>AVERAGE('[1]Aug 2025'!B21:AF21)</f>
        <v>25.530000000000008</v>
      </c>
      <c r="H21" s="3">
        <v>24.353333333333335</v>
      </c>
      <c r="I21">
        <f>AVERAGE('[1]Sept 2024'!B21:D21)</f>
        <v>32.43</v>
      </c>
      <c r="J21">
        <f>AVERAGE('[1]Sept 2025'!B21:D21)</f>
        <v>25.426666666666666</v>
      </c>
    </row>
    <row r="22" spans="1:10" x14ac:dyDescent="0.35">
      <c r="A22" s="1" t="s">
        <v>21</v>
      </c>
      <c r="B22" s="16">
        <v>26.08</v>
      </c>
      <c r="C22" s="3">
        <f>AVERAGE('[1]July 2024'!B22:AF22)</f>
        <v>43.711612903225799</v>
      </c>
      <c r="D22" s="3">
        <f>AVERAGE('[1]July 2025'!B22:AF22)</f>
        <v>28.010322580645155</v>
      </c>
      <c r="E22" s="3">
        <v>29.813333333333333</v>
      </c>
      <c r="F22" s="3">
        <f>AVERAGE('[1]Aug 2024'!B22:AF22)</f>
        <v>44.982258064516131</v>
      </c>
      <c r="G22" s="3">
        <f>AVERAGE('[1]Aug 2025'!B22:AF22)</f>
        <v>28.157419354838705</v>
      </c>
      <c r="H22" s="3">
        <v>33.363333333333337</v>
      </c>
      <c r="I22">
        <f>AVERAGE('[1]Sept 2024'!B22:D22)</f>
        <v>41.153333333333336</v>
      </c>
      <c r="J22">
        <f>AVERAGE('[1]Sept 2025'!B22:D22)</f>
        <v>27.716666666666669</v>
      </c>
    </row>
    <row r="23" spans="1:10" x14ac:dyDescent="0.35">
      <c r="A23" s="1" t="s">
        <v>22</v>
      </c>
      <c r="B23" s="16">
        <v>103.69666666666666</v>
      </c>
      <c r="C23" s="3">
        <f>AVERAGE('[1]July 2024'!B23:AF23)</f>
        <v>65.767419354838722</v>
      </c>
      <c r="D23" s="3">
        <f>AVERAGE('[1]July 2025'!B23:AF23)</f>
        <v>42.22354838709677</v>
      </c>
      <c r="E23" s="3">
        <v>99.35333333333331</v>
      </c>
      <c r="F23" s="3">
        <f>AVERAGE('[1]Aug 2024'!B23:AF23)</f>
        <v>50.349032258064511</v>
      </c>
      <c r="G23" s="3">
        <f>AVERAGE('[1]Aug 2025'!B23:AF23)</f>
        <v>52.675161290322578</v>
      </c>
      <c r="H23" s="3">
        <v>40.883333333333333</v>
      </c>
      <c r="I23">
        <f>AVERAGE('[1]Sept 2024'!B23:D23)</f>
        <v>40.559999999999995</v>
      </c>
      <c r="J23">
        <f>AVERAGE('[1]Sept 2025'!B23:D23)</f>
        <v>43.183333333333337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BE4B9-D00D-4B06-BB2E-F2B08C4188F8}">
  <dimension ref="A1:G37"/>
  <sheetViews>
    <sheetView workbookViewId="0">
      <selection activeCell="B37" sqref="B37:D37"/>
    </sheetView>
  </sheetViews>
  <sheetFormatPr defaultRowHeight="14.5" x14ac:dyDescent="0.35"/>
  <cols>
    <col min="1" max="1" width="21.1796875" bestFit="1" customWidth="1"/>
  </cols>
  <sheetData>
    <row r="1" spans="1:7" x14ac:dyDescent="0.35">
      <c r="B1" s="25" t="s">
        <v>23</v>
      </c>
      <c r="C1" s="25"/>
      <c r="D1" s="25"/>
      <c r="E1" s="25"/>
      <c r="F1" s="25"/>
      <c r="G1" s="25"/>
    </row>
    <row r="2" spans="1:7" x14ac:dyDescent="0.35">
      <c r="A2" s="1"/>
      <c r="B2" s="5">
        <v>45474</v>
      </c>
      <c r="C2" s="5">
        <v>45505</v>
      </c>
      <c r="D2" s="5">
        <v>45536</v>
      </c>
      <c r="E2" s="5">
        <v>45839</v>
      </c>
      <c r="F2" s="5">
        <v>45870</v>
      </c>
      <c r="G2" s="5">
        <v>45901</v>
      </c>
    </row>
    <row r="3" spans="1:7" x14ac:dyDescent="0.35">
      <c r="A3" s="1" t="s">
        <v>1</v>
      </c>
      <c r="B3">
        <f>raw!C2/raw!B2</f>
        <v>1.0992659936948699</v>
      </c>
      <c r="C3">
        <f>raw!F2/raw!E2</f>
        <v>1.0503031228249029</v>
      </c>
      <c r="D3">
        <f>raw!I2/raw!H2</f>
        <v>1.0264407853071564</v>
      </c>
      <c r="E3">
        <f>raw!D2/raw!C2</f>
        <v>0.95442530109138835</v>
      </c>
      <c r="F3">
        <f>raw!G2/raw!F2</f>
        <v>0.97591385452234192</v>
      </c>
      <c r="G3">
        <f>raw!J2/raw!I2</f>
        <v>0.99668363412000638</v>
      </c>
    </row>
    <row r="4" spans="1:7" x14ac:dyDescent="0.35">
      <c r="A4" s="1" t="s">
        <v>2</v>
      </c>
      <c r="B4">
        <f>raw!C3/raw!B3</f>
        <v>1.0592339575457765</v>
      </c>
      <c r="C4">
        <f>raw!F3/raw!E3</f>
        <v>1.0364015011822898</v>
      </c>
      <c r="D4">
        <f>raw!I3/raw!H3</f>
        <v>1.0373655615921944</v>
      </c>
      <c r="E4">
        <f>raw!D3/raw!C3</f>
        <v>1.0025605021888169</v>
      </c>
      <c r="F4">
        <f>raw!G3/raw!F3</f>
        <v>1.0240502354788066</v>
      </c>
      <c r="G4">
        <f>raw!J3/raw!I3</f>
        <v>1.0169944420692605</v>
      </c>
    </row>
    <row r="5" spans="1:7" x14ac:dyDescent="0.35">
      <c r="A5" s="1" t="s">
        <v>3</v>
      </c>
      <c r="B5">
        <f>raw!C4/raw!B4</f>
        <v>1.0363439420076968</v>
      </c>
      <c r="C5">
        <f>raw!F4/raw!E4</f>
        <v>1.019501452333702</v>
      </c>
      <c r="D5">
        <f>raw!I4/raw!H4</f>
        <v>1.0224729666196524</v>
      </c>
      <c r="E5">
        <f>raw!D4/raw!C4</f>
        <v>1.0171431123816328</v>
      </c>
      <c r="F5">
        <f>raw!G4/raw!F4</f>
        <v>1.0324112098921436</v>
      </c>
      <c r="G5">
        <f>raw!J4/raw!I4</f>
        <v>1.0196799705720065</v>
      </c>
    </row>
    <row r="6" spans="1:7" x14ac:dyDescent="0.35">
      <c r="A6" s="1" t="s">
        <v>24</v>
      </c>
      <c r="B6" s="6">
        <f>AVERAGE(B3:B5)</f>
        <v>1.0649479644161144</v>
      </c>
      <c r="C6" s="6">
        <f t="shared" ref="C6:D6" si="0">AVERAGE(C3:C5)</f>
        <v>1.0354020254469649</v>
      </c>
      <c r="D6" s="6">
        <f t="shared" si="0"/>
        <v>1.028759771173001</v>
      </c>
      <c r="E6" s="6">
        <f>AVERAGE(E3:E5)</f>
        <v>0.99137630522061271</v>
      </c>
      <c r="F6" s="6">
        <f t="shared" ref="F6:G6" si="1">AVERAGE(F3:F5)</f>
        <v>1.0107917666310975</v>
      </c>
      <c r="G6" s="6">
        <f t="shared" si="1"/>
        <v>1.0111193489204247</v>
      </c>
    </row>
    <row r="7" spans="1:7" x14ac:dyDescent="0.35">
      <c r="A7" s="1"/>
    </row>
    <row r="8" spans="1:7" x14ac:dyDescent="0.35">
      <c r="A8" s="1" t="s">
        <v>4</v>
      </c>
      <c r="B8">
        <f>raw!C5/raw!B5</f>
        <v>1.1841728269364518</v>
      </c>
      <c r="C8">
        <f>raw!F5/raw!E5</f>
        <v>1.1730930853014008</v>
      </c>
      <c r="D8">
        <f>raw!I5/raw!H5</f>
        <v>1.1237960810362007</v>
      </c>
      <c r="E8">
        <f>raw!D5/raw!C5</f>
        <v>0.96810640160721362</v>
      </c>
      <c r="F8">
        <f>raw!G5/raw!F5</f>
        <v>0.97176363675703725</v>
      </c>
      <c r="G8">
        <f>raw!J5/raw!I5</f>
        <v>0.9672700406353899</v>
      </c>
    </row>
    <row r="9" spans="1:7" x14ac:dyDescent="0.35">
      <c r="A9" s="1" t="s">
        <v>5</v>
      </c>
      <c r="B9">
        <f>raw!C6/raw!B6</f>
        <v>1.2460521624880327</v>
      </c>
      <c r="C9">
        <f>raw!F6/raw!E6</f>
        <v>1.1987353319364489</v>
      </c>
      <c r="D9">
        <f>raw!I6/raw!H6</f>
        <v>1.0102723309060198</v>
      </c>
      <c r="E9">
        <f>raw!D6/raw!C6</f>
        <v>0.71555048056985571</v>
      </c>
      <c r="F9">
        <f>raw!G6/raw!F6</f>
        <v>0.7094887837869428</v>
      </c>
      <c r="G9">
        <f>raw!J6/raw!I6</f>
        <v>0.7888921526538174</v>
      </c>
    </row>
    <row r="10" spans="1:7" x14ac:dyDescent="0.35">
      <c r="A10" s="1" t="s">
        <v>6</v>
      </c>
      <c r="B10">
        <f>raw!C7/raw!B7</f>
        <v>1.118157817541801</v>
      </c>
      <c r="C10">
        <f>raw!F7/raw!E7</f>
        <v>1.0910233792862181</v>
      </c>
      <c r="D10">
        <f>raw!I7/raw!H7</f>
        <v>1.0317171084474561</v>
      </c>
      <c r="E10">
        <f>raw!D7/raw!C7</f>
        <v>0.90541425691697608</v>
      </c>
      <c r="F10">
        <f>raw!G7/raw!F7</f>
        <v>0.9116185518220542</v>
      </c>
      <c r="G10">
        <f>raw!J7/raw!I7</f>
        <v>0.94519413858763135</v>
      </c>
    </row>
    <row r="11" spans="1:7" x14ac:dyDescent="0.35">
      <c r="A11" s="1" t="s">
        <v>7</v>
      </c>
      <c r="B11">
        <f>raw!C8/raw!B8</f>
        <v>1.0697831089179941</v>
      </c>
      <c r="C11">
        <f>raw!F8/raw!E8</f>
        <v>1.0454065010801641</v>
      </c>
      <c r="D11">
        <f>raw!I8/raw!H8</f>
        <v>0.99770817417876234</v>
      </c>
      <c r="E11">
        <f>raw!D8/raw!C8</f>
        <v>0.93370027179617221</v>
      </c>
      <c r="F11">
        <f>raw!G8/raw!F8</f>
        <v>0.94796977888680944</v>
      </c>
      <c r="G11">
        <f>raw!J8/raw!I8</f>
        <v>0.97611615031216881</v>
      </c>
    </row>
    <row r="12" spans="1:7" x14ac:dyDescent="0.35">
      <c r="A12" s="1" t="s">
        <v>8</v>
      </c>
      <c r="B12">
        <f>raw!C9/raw!B9</f>
        <v>1.0141709497285119</v>
      </c>
      <c r="C12">
        <f>raw!F9/raw!E9</f>
        <v>0.97920024085897051</v>
      </c>
      <c r="D12">
        <f>raw!I9/raw!H9</f>
        <v>0.95815151298376133</v>
      </c>
      <c r="E12">
        <f>raw!D9/raw!C9</f>
        <v>0.94473220742463104</v>
      </c>
      <c r="F12">
        <f>raw!G9/raw!F9</f>
        <v>0.98545242632363617</v>
      </c>
      <c r="G12">
        <f>raw!J9/raw!I9</f>
        <v>1.0031730625653277</v>
      </c>
    </row>
    <row r="13" spans="1:7" x14ac:dyDescent="0.35">
      <c r="A13" s="1" t="s">
        <v>25</v>
      </c>
      <c r="B13" s="6">
        <f>AVERAGE(B8:B12)</f>
        <v>1.1264673731225583</v>
      </c>
      <c r="C13" s="6">
        <f t="shared" ref="C13:D13" si="2">AVERAGE(C8:C12)</f>
        <v>1.0974917076926405</v>
      </c>
      <c r="D13" s="6">
        <f t="shared" si="2"/>
        <v>1.02432904151044</v>
      </c>
      <c r="E13" s="6">
        <f>AVERAGE(E8:E12)</f>
        <v>0.89350072366296973</v>
      </c>
      <c r="F13" s="6">
        <f t="shared" ref="F13:G13" si="3">AVERAGE(F8:F12)</f>
        <v>0.90525863551529595</v>
      </c>
      <c r="G13" s="6">
        <f t="shared" si="3"/>
        <v>0.93612910895086698</v>
      </c>
    </row>
    <row r="14" spans="1:7" x14ac:dyDescent="0.35">
      <c r="A14" s="1"/>
    </row>
    <row r="15" spans="1:7" x14ac:dyDescent="0.35">
      <c r="A15" s="1" t="s">
        <v>9</v>
      </c>
      <c r="B15">
        <f>raw!C10/raw!B10</f>
        <v>1.043030757689422</v>
      </c>
      <c r="C15">
        <f>raw!F10/raw!E10</f>
        <v>1.0371777739621206</v>
      </c>
      <c r="D15">
        <f>raw!I10/raw!H10</f>
        <v>1.0335041688977282</v>
      </c>
      <c r="E15">
        <f>raw!D10/raw!C10</f>
        <v>1.0239865934002712</v>
      </c>
      <c r="F15">
        <f>raw!G10/raw!F10</f>
        <v>1.0304971532631304</v>
      </c>
      <c r="G15">
        <f>raw!J10/raw!I10</f>
        <v>1.0312338094885647</v>
      </c>
    </row>
    <row r="16" spans="1:7" x14ac:dyDescent="0.35">
      <c r="A16" s="1" t="s">
        <v>17</v>
      </c>
      <c r="B16">
        <f>raw!C18/raw!B18</f>
        <v>1.0675971084902993</v>
      </c>
      <c r="C16">
        <f>raw!F18/raw!E18</f>
        <v>1.0571704382555953</v>
      </c>
      <c r="D16">
        <f>raw!I18/raw!H18</f>
        <v>1.0426929392446633</v>
      </c>
      <c r="E16">
        <f>raw!D18/raw!C18</f>
        <v>1.0175038724078425</v>
      </c>
      <c r="F16">
        <f>raw!G18/raw!F18</f>
        <v>1.0261419081770617</v>
      </c>
      <c r="G16">
        <f>raw!J18/raw!I18</f>
        <v>1.0350090854027862</v>
      </c>
    </row>
    <row r="17" spans="1:7" x14ac:dyDescent="0.35">
      <c r="A17" s="1" t="s">
        <v>26</v>
      </c>
      <c r="B17" s="6">
        <f>AVERAGE(B15:B16)</f>
        <v>1.0553139330898607</v>
      </c>
      <c r="C17" s="6">
        <f t="shared" ref="C17:D17" si="4">AVERAGE(C15:C16)</f>
        <v>1.047174106108858</v>
      </c>
      <c r="D17" s="6">
        <f t="shared" si="4"/>
        <v>1.0380985540711958</v>
      </c>
      <c r="E17" s="6">
        <f>AVERAGE(E15:E16)</f>
        <v>1.0207452329040567</v>
      </c>
      <c r="F17" s="6">
        <f t="shared" ref="F17:G17" si="5">AVERAGE(F15:F16)</f>
        <v>1.0283195307200961</v>
      </c>
      <c r="G17" s="6">
        <f t="shared" si="5"/>
        <v>1.0331214474456756</v>
      </c>
    </row>
    <row r="18" spans="1:7" x14ac:dyDescent="0.35">
      <c r="A18" s="1"/>
    </row>
    <row r="19" spans="1:7" x14ac:dyDescent="0.35">
      <c r="A19" s="1" t="s">
        <v>10</v>
      </c>
      <c r="B19">
        <f>raw!C11/raw!B11</f>
        <v>1.0233664661844191</v>
      </c>
      <c r="C19">
        <f>raw!F11/raw!E11</f>
        <v>1.0229180524021686</v>
      </c>
      <c r="D19">
        <f>raw!I11/raw!H11</f>
        <v>1.0081910871806621</v>
      </c>
      <c r="E19">
        <f>raw!D11/raw!C11</f>
        <v>0.99682351146369097</v>
      </c>
      <c r="F19">
        <f>raw!G11/raw!F11</f>
        <v>0.99768961251968469</v>
      </c>
      <c r="G19">
        <f>raw!J11/raw!I11</f>
        <v>1.0113629907391626</v>
      </c>
    </row>
    <row r="20" spans="1:7" x14ac:dyDescent="0.35">
      <c r="A20" s="1"/>
    </row>
    <row r="21" spans="1:7" x14ac:dyDescent="0.35">
      <c r="A21" s="1" t="s">
        <v>11</v>
      </c>
      <c r="B21">
        <f>raw!C12/raw!B12</f>
        <v>0.99111952191460939</v>
      </c>
      <c r="C21">
        <f>raw!F12/raw!E12</f>
        <v>0.96806607175686954</v>
      </c>
      <c r="D21">
        <f>raw!I12/raw!H12</f>
        <v>0.9494462834266304</v>
      </c>
      <c r="E21">
        <f>raw!D12/raw!C12</f>
        <v>0.99911452032227344</v>
      </c>
      <c r="F21">
        <f>raw!G12/raw!F12</f>
        <v>1.0215096740942535</v>
      </c>
      <c r="G21">
        <f>raw!J12/raw!I12</f>
        <v>1.0297532126168223</v>
      </c>
    </row>
    <row r="22" spans="1:7" x14ac:dyDescent="0.35">
      <c r="A22" s="1" t="s">
        <v>12</v>
      </c>
      <c r="B22">
        <f>raw!C13/raw!B13</f>
        <v>0.99873782424431823</v>
      </c>
      <c r="C22">
        <f>raw!F13/raw!E13</f>
        <v>0.99653606218998114</v>
      </c>
      <c r="D22">
        <f>raw!I13/raw!H13</f>
        <v>1.1176680632260521</v>
      </c>
      <c r="E22">
        <f>raw!D13/raw!C13</f>
        <v>1.2726027177193378</v>
      </c>
      <c r="F22">
        <f>raw!G13/raw!F13</f>
        <v>1.3394649253714126</v>
      </c>
      <c r="G22">
        <f>raw!J13/raw!I13</f>
        <v>1.2027219867521459</v>
      </c>
    </row>
    <row r="23" spans="1:7" x14ac:dyDescent="0.35">
      <c r="A23" s="1" t="s">
        <v>13</v>
      </c>
      <c r="B23">
        <f>raw!C14/raw!B14</f>
        <v>0.96577150434362347</v>
      </c>
      <c r="C23">
        <f>raw!F14/raw!E14</f>
        <v>0.95857166374333258</v>
      </c>
      <c r="D23">
        <f>raw!I14/raw!H14</f>
        <v>1.0388623872238927</v>
      </c>
      <c r="E23">
        <f>raw!D14/raw!C14</f>
        <v>1.2412287793047696</v>
      </c>
      <c r="F23">
        <f>raw!G14/raw!F14</f>
        <v>1.2663165712970612</v>
      </c>
      <c r="G23">
        <f>raw!J14/raw!I14</f>
        <v>1.1741159441990467</v>
      </c>
    </row>
    <row r="24" spans="1:7" x14ac:dyDescent="0.35">
      <c r="A24" s="1" t="s">
        <v>27</v>
      </c>
      <c r="B24" s="6">
        <f>AVERAGE(B21:B23)</f>
        <v>0.98520961683418362</v>
      </c>
      <c r="C24" s="6">
        <f t="shared" ref="C24:D24" si="6">AVERAGE(C21:C23)</f>
        <v>0.97439126589672787</v>
      </c>
      <c r="D24" s="6">
        <f t="shared" si="6"/>
        <v>1.0353255779588586</v>
      </c>
      <c r="E24" s="6">
        <f>AVERAGE(E21:E23)</f>
        <v>1.170982005782127</v>
      </c>
      <c r="F24" s="6">
        <f t="shared" ref="F24:G24" si="7">AVERAGE(F21:F23)</f>
        <v>1.209097056920909</v>
      </c>
      <c r="G24" s="6">
        <f t="shared" si="7"/>
        <v>1.1355303811893382</v>
      </c>
    </row>
    <row r="25" spans="1:7" x14ac:dyDescent="0.35">
      <c r="A25" s="1" t="s">
        <v>14</v>
      </c>
      <c r="B25">
        <f>raw!C15/raw!B15</f>
        <v>0.9454609944395248</v>
      </c>
      <c r="C25">
        <f>raw!F15/raw!E15</f>
        <v>0.92916305099666696</v>
      </c>
      <c r="D25">
        <f>raw!I15/raw!H15</f>
        <v>1.0115410009243364</v>
      </c>
      <c r="E25">
        <f>raw!D15/raw!C15</f>
        <v>1.198993671570036</v>
      </c>
      <c r="F25">
        <f>raw!G15/raw!F15</f>
        <v>1.2363485755741563</v>
      </c>
      <c r="G25">
        <f>raw!J15/raw!I15</f>
        <v>1.1531773797712912</v>
      </c>
    </row>
    <row r="26" spans="1:7" x14ac:dyDescent="0.35">
      <c r="A26" s="1" t="s">
        <v>15</v>
      </c>
      <c r="B26">
        <f>raw!C16/raw!B16</f>
        <v>0.93579265488469865</v>
      </c>
      <c r="C26">
        <f>raw!F16/raw!E16</f>
        <v>0.93486556699478307</v>
      </c>
      <c r="D26">
        <f>raw!I16/raw!H16</f>
        <v>1.0534959989505444</v>
      </c>
      <c r="E26">
        <f>raw!D16/raw!C16</f>
        <v>1.3081020029907959</v>
      </c>
      <c r="F26">
        <f>raw!G16/raw!F16</f>
        <v>1.3405163618399154</v>
      </c>
      <c r="G26">
        <f>raw!J16/raw!I16</f>
        <v>1.21357772575584</v>
      </c>
    </row>
    <row r="27" spans="1:7" x14ac:dyDescent="0.35">
      <c r="A27" s="1" t="s">
        <v>16</v>
      </c>
      <c r="B27">
        <f>raw!C17/raw!B17</f>
        <v>0.95912884965940703</v>
      </c>
      <c r="C27">
        <f>raw!F17/raw!E17</f>
        <v>0.95977247985498704</v>
      </c>
      <c r="D27">
        <f>raw!I17/raw!H17</f>
        <v>1.0836515552074155</v>
      </c>
      <c r="E27">
        <f>raw!D17/raw!C17</f>
        <v>1.3045365222469967</v>
      </c>
      <c r="F27">
        <f>raw!G17/raw!F17</f>
        <v>1.3226766525561706</v>
      </c>
      <c r="G27">
        <f>raw!J17/raw!I17</f>
        <v>1.1952894403951568</v>
      </c>
    </row>
    <row r="30" spans="1:7" x14ac:dyDescent="0.35">
      <c r="A30" s="1" t="s">
        <v>18</v>
      </c>
      <c r="B30">
        <f>raw!C19/raw!B19</f>
        <v>1.002302055093873</v>
      </c>
      <c r="C30">
        <f>raw!F19/raw!E19</f>
        <v>0.96175264938149629</v>
      </c>
      <c r="D30">
        <f>raw!I19/raw!H19</f>
        <v>0.95038374229812983</v>
      </c>
      <c r="E30">
        <f>raw!D19/raw!C19</f>
        <v>0.97879367083428315</v>
      </c>
      <c r="F30">
        <f>raw!G19/raw!F19</f>
        <v>1.0093670481357857</v>
      </c>
      <c r="G30">
        <f>raw!J19/raw!I19</f>
        <v>1.0304317055909413</v>
      </c>
    </row>
    <row r="31" spans="1:7" x14ac:dyDescent="0.35">
      <c r="A31" s="1" t="s">
        <v>19</v>
      </c>
      <c r="B31">
        <f>raw!C20/raw!B20</f>
        <v>1.0285760635526147</v>
      </c>
      <c r="C31">
        <f>raw!F20/raw!E20</f>
        <v>1.0043273013375293</v>
      </c>
      <c r="D31">
        <f>raw!I20/raw!H20</f>
        <v>0.99053627760252361</v>
      </c>
      <c r="E31">
        <f>raw!D20/raw!C20</f>
        <v>0.95125098573374434</v>
      </c>
      <c r="F31">
        <f>raw!G20/raw!F20</f>
        <v>0.95968432200316278</v>
      </c>
      <c r="G31">
        <f>raw!J20/raw!I20</f>
        <v>0.97042766151046411</v>
      </c>
    </row>
    <row r="32" spans="1:7" x14ac:dyDescent="0.35">
      <c r="A32" s="1" t="s">
        <v>28</v>
      </c>
      <c r="B32" s="6">
        <f>AVERAGE(B30:B31)</f>
        <v>1.0154390593232439</v>
      </c>
      <c r="C32" s="6">
        <f t="shared" ref="C32" si="8">AVERAGE(C30:C31)</f>
        <v>0.98303997535951282</v>
      </c>
      <c r="D32" s="6">
        <f>AVERAGE(D30:D31)</f>
        <v>0.97046000995032666</v>
      </c>
      <c r="E32" s="6">
        <f>AVERAGE(E30:E31)</f>
        <v>0.9650223282840138</v>
      </c>
      <c r="F32" s="6">
        <f t="shared" ref="F32" si="9">AVERAGE(F30:F31)</f>
        <v>0.98452568506947424</v>
      </c>
      <c r="G32" s="6">
        <f>AVERAGE(G30:G31)</f>
        <v>1.0004296835507027</v>
      </c>
    </row>
    <row r="34" spans="1:7" x14ac:dyDescent="0.35">
      <c r="A34" s="1" t="s">
        <v>20</v>
      </c>
      <c r="B34">
        <f>raw!C21/raw!B21</f>
        <v>1.5651934335897142</v>
      </c>
      <c r="C34">
        <f>raw!F21/raw!E21</f>
        <v>1.5345717188477423</v>
      </c>
      <c r="D34">
        <f>raw!I21/raw!H21</f>
        <v>1.3316452231042977</v>
      </c>
      <c r="E34">
        <f>raw!D21/raw!C21</f>
        <v>0.69846857947544438</v>
      </c>
      <c r="F34">
        <f>raw!G21/raw!F21</f>
        <v>0.68642127356935967</v>
      </c>
      <c r="G34">
        <f>raw!J21/raw!I21</f>
        <v>0.78404769246582384</v>
      </c>
    </row>
    <row r="35" spans="1:7" x14ac:dyDescent="0.35">
      <c r="A35" s="1" t="s">
        <v>21</v>
      </c>
      <c r="B35">
        <f>raw!C22/raw!B22</f>
        <v>1.6760587769641795</v>
      </c>
      <c r="C35">
        <f>raw!F22/raw!E22</f>
        <v>1.5087966703214266</v>
      </c>
      <c r="D35">
        <f>raw!I22/raw!H22</f>
        <v>1.2334898591267858</v>
      </c>
      <c r="E35">
        <f>raw!D22/raw!C22</f>
        <v>0.64079819343792888</v>
      </c>
      <c r="F35">
        <f>raw!G22/raw!F22</f>
        <v>0.62596722722220222</v>
      </c>
      <c r="G35">
        <f>raw!J22/raw!I22</f>
        <v>0.67349748906528428</v>
      </c>
    </row>
    <row r="36" spans="1:7" x14ac:dyDescent="0.35">
      <c r="A36" s="1" t="s">
        <v>22</v>
      </c>
      <c r="B36">
        <f>raw!C23/raw!B23</f>
        <v>0.6342288664518827</v>
      </c>
      <c r="C36">
        <f>raw!F23/raw!E23</f>
        <v>0.50676741855396079</v>
      </c>
      <c r="D36">
        <f>raw!I23/raw!H23</f>
        <v>0.99209131675499374</v>
      </c>
      <c r="E36">
        <f>raw!D23/raw!C23</f>
        <v>0.64201315486146171</v>
      </c>
      <c r="F36">
        <f>raw!G23/raw!F23</f>
        <v>1.0462000743199089</v>
      </c>
      <c r="G36">
        <f>raw!J23/raw!I23</f>
        <v>1.0646778435239976</v>
      </c>
    </row>
    <row r="37" spans="1:7" x14ac:dyDescent="0.35">
      <c r="A37" s="1" t="s">
        <v>29</v>
      </c>
      <c r="B37" s="6">
        <f>AVERAGE(B34:B36)</f>
        <v>1.2918270256685922</v>
      </c>
      <c r="C37" s="6">
        <f t="shared" ref="C37:D37" si="10">AVERAGE(C34:C36)</f>
        <v>1.1833786025743767</v>
      </c>
      <c r="D37" s="6">
        <f t="shared" si="10"/>
        <v>1.185742132995359</v>
      </c>
      <c r="E37" s="6">
        <f>AVERAGE(E34:E36)</f>
        <v>0.66042664259161166</v>
      </c>
      <c r="F37" s="6">
        <f t="shared" ref="F37" si="11">AVERAGE(F34:F36)</f>
        <v>0.78619619170382349</v>
      </c>
      <c r="G37" s="6">
        <f t="shared" ref="G37" si="12">AVERAGE(G34:G36)</f>
        <v>0.84074100835170196</v>
      </c>
    </row>
  </sheetData>
  <mergeCells count="1">
    <mergeCell ref="B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822E3-2C98-49EC-A084-9CA7A91292D2}">
  <dimension ref="A1:D44"/>
  <sheetViews>
    <sheetView topLeftCell="A38" workbookViewId="0">
      <selection activeCell="J48" sqref="J48"/>
    </sheetView>
  </sheetViews>
  <sheetFormatPr defaultRowHeight="14.5" x14ac:dyDescent="0.35"/>
  <cols>
    <col min="1" max="1" width="20.453125" bestFit="1" customWidth="1"/>
    <col min="4" max="4" width="35.90625" bestFit="1" customWidth="1"/>
  </cols>
  <sheetData>
    <row r="1" spans="1:4" x14ac:dyDescent="0.35">
      <c r="A1" s="7" t="s">
        <v>30</v>
      </c>
      <c r="B1" s="7" t="s">
        <v>31</v>
      </c>
      <c r="C1" s="7" t="s">
        <v>32</v>
      </c>
      <c r="D1" s="7" t="s">
        <v>44</v>
      </c>
    </row>
    <row r="2" spans="1:4" ht="14.5" customHeight="1" x14ac:dyDescent="0.35">
      <c r="A2" s="8" t="s">
        <v>33</v>
      </c>
      <c r="B2" s="9">
        <v>9.67</v>
      </c>
      <c r="C2" s="10">
        <f>(B2/$B$44)</f>
        <v>0.24763124199743919</v>
      </c>
      <c r="D2" s="3">
        <f>B2/$B$38</f>
        <v>0.30105853051058534</v>
      </c>
    </row>
    <row r="3" spans="1:4" x14ac:dyDescent="0.35">
      <c r="A3" t="s">
        <v>1</v>
      </c>
      <c r="B3">
        <v>4.38</v>
      </c>
      <c r="C3" s="3"/>
      <c r="D3" s="3"/>
    </row>
    <row r="4" spans="1:4" x14ac:dyDescent="0.35">
      <c r="A4" t="s">
        <v>2</v>
      </c>
      <c r="B4">
        <v>2.56</v>
      </c>
      <c r="C4" s="3"/>
      <c r="D4" s="3"/>
    </row>
    <row r="5" spans="1:4" x14ac:dyDescent="0.35">
      <c r="A5" t="s">
        <v>3</v>
      </c>
      <c r="C5" s="3"/>
      <c r="D5" s="3"/>
    </row>
    <row r="6" spans="1:4" x14ac:dyDescent="0.35">
      <c r="A6" s="11"/>
      <c r="C6" s="3"/>
      <c r="D6" s="3"/>
    </row>
    <row r="7" spans="1:4" ht="43.5" x14ac:dyDescent="0.35">
      <c r="A7" s="8" t="s">
        <v>34</v>
      </c>
      <c r="B7" s="9">
        <v>2.38</v>
      </c>
      <c r="C7" s="10">
        <f>(B7/$B$44)</f>
        <v>6.0947503201024329E-2</v>
      </c>
      <c r="D7" s="3">
        <f>B7/$B$38</f>
        <v>7.4097135740971362E-2</v>
      </c>
    </row>
    <row r="8" spans="1:4" x14ac:dyDescent="0.35">
      <c r="A8" t="s">
        <v>4</v>
      </c>
      <c r="C8" s="11"/>
      <c r="D8" s="3"/>
    </row>
    <row r="9" spans="1:4" x14ac:dyDescent="0.35">
      <c r="A9" t="s">
        <v>5</v>
      </c>
      <c r="B9">
        <v>0.8</v>
      </c>
      <c r="D9" s="3"/>
    </row>
    <row r="10" spans="1:4" x14ac:dyDescent="0.35">
      <c r="A10" t="s">
        <v>6</v>
      </c>
      <c r="B10">
        <v>0.27</v>
      </c>
      <c r="D10" s="3"/>
    </row>
    <row r="11" spans="1:4" x14ac:dyDescent="0.35">
      <c r="A11" t="s">
        <v>7</v>
      </c>
      <c r="B11">
        <v>0.35</v>
      </c>
      <c r="D11" s="3"/>
    </row>
    <row r="12" spans="1:4" x14ac:dyDescent="0.35">
      <c r="A12" t="s">
        <v>8</v>
      </c>
      <c r="B12">
        <v>0.3</v>
      </c>
      <c r="D12" s="3"/>
    </row>
    <row r="13" spans="1:4" x14ac:dyDescent="0.35">
      <c r="A13" s="11"/>
      <c r="D13" s="3"/>
    </row>
    <row r="14" spans="1:4" ht="43.5" x14ac:dyDescent="0.35">
      <c r="A14" s="8" t="s">
        <v>35</v>
      </c>
      <c r="B14" s="12">
        <v>1.36</v>
      </c>
      <c r="C14" s="10">
        <f>(B14/$B$44)</f>
        <v>3.4827144686299619E-2</v>
      </c>
      <c r="D14" s="3">
        <f>B14/$B$38</f>
        <v>4.2341220423412214E-2</v>
      </c>
    </row>
    <row r="15" spans="1:4" x14ac:dyDescent="0.35">
      <c r="A15" t="s">
        <v>9</v>
      </c>
      <c r="B15">
        <v>1.1299999999999999</v>
      </c>
      <c r="C15" s="3"/>
      <c r="D15" s="3"/>
    </row>
    <row r="16" spans="1:4" x14ac:dyDescent="0.35">
      <c r="A16" t="s">
        <v>17</v>
      </c>
      <c r="B16">
        <v>0.1</v>
      </c>
      <c r="C16" s="3"/>
      <c r="D16" s="3"/>
    </row>
    <row r="17" spans="1:4" x14ac:dyDescent="0.35">
      <c r="C17" s="3"/>
      <c r="D17" s="3"/>
    </row>
    <row r="18" spans="1:4" x14ac:dyDescent="0.35">
      <c r="A18" s="8" t="s">
        <v>36</v>
      </c>
      <c r="B18" s="13">
        <v>6.61</v>
      </c>
      <c r="C18" s="10">
        <f>(B18/$B$44)</f>
        <v>0.16927016645326506</v>
      </c>
      <c r="D18" s="3">
        <f>B18/$B$38</f>
        <v>0.20579078455790786</v>
      </c>
    </row>
    <row r="19" spans="1:4" x14ac:dyDescent="0.35">
      <c r="A19" t="s">
        <v>10</v>
      </c>
      <c r="B19">
        <v>6.42</v>
      </c>
      <c r="C19" s="3"/>
      <c r="D19" s="3"/>
    </row>
    <row r="20" spans="1:4" x14ac:dyDescent="0.35">
      <c r="A20" s="8"/>
      <c r="B20" s="9"/>
      <c r="C20" s="10"/>
      <c r="D20" s="3"/>
    </row>
    <row r="21" spans="1:4" x14ac:dyDescent="0.35">
      <c r="A21" s="8" t="s">
        <v>37</v>
      </c>
      <c r="B21" s="12">
        <v>3.56</v>
      </c>
      <c r="C21" s="10">
        <f>(B21/$B$44)</f>
        <v>9.1165172855313711E-2</v>
      </c>
      <c r="D21" s="3">
        <f>B21/$B$38</f>
        <v>0.11083437110834372</v>
      </c>
    </row>
    <row r="22" spans="1:4" x14ac:dyDescent="0.35">
      <c r="A22" t="s">
        <v>11</v>
      </c>
      <c r="B22">
        <v>0.33</v>
      </c>
      <c r="C22" s="11"/>
      <c r="D22" s="3"/>
    </row>
    <row r="23" spans="1:4" x14ac:dyDescent="0.35">
      <c r="A23" t="s">
        <v>12</v>
      </c>
      <c r="B23">
        <v>1.33</v>
      </c>
      <c r="C23" s="11"/>
      <c r="D23" s="3"/>
    </row>
    <row r="24" spans="1:4" x14ac:dyDescent="0.35">
      <c r="A24" t="s">
        <v>13</v>
      </c>
      <c r="B24">
        <v>7.0000000000000007E-2</v>
      </c>
      <c r="C24" s="11"/>
      <c r="D24" s="3"/>
    </row>
    <row r="25" spans="1:4" x14ac:dyDescent="0.35">
      <c r="A25" t="s">
        <v>14</v>
      </c>
      <c r="D25" s="3"/>
    </row>
    <row r="26" spans="1:4" x14ac:dyDescent="0.35">
      <c r="A26" t="s">
        <v>15</v>
      </c>
      <c r="C26" s="11"/>
      <c r="D26" s="3"/>
    </row>
    <row r="27" spans="1:4" x14ac:dyDescent="0.35">
      <c r="A27" t="s">
        <v>16</v>
      </c>
      <c r="B27" s="9"/>
      <c r="C27" s="10"/>
      <c r="D27" s="3"/>
    </row>
    <row r="28" spans="1:4" x14ac:dyDescent="0.35">
      <c r="C28" s="3"/>
      <c r="D28" s="3"/>
    </row>
    <row r="29" spans="1:4" x14ac:dyDescent="0.35">
      <c r="A29" s="8" t="s">
        <v>28</v>
      </c>
      <c r="B29" s="9">
        <v>2.5</v>
      </c>
      <c r="C29" s="10">
        <f>(B29/$B$44)</f>
        <v>6.4020486555697823E-2</v>
      </c>
      <c r="D29" s="3">
        <f>B29/$B$38</f>
        <v>7.7833125778331264E-2</v>
      </c>
    </row>
    <row r="30" spans="1:4" x14ac:dyDescent="0.35">
      <c r="A30" t="s">
        <v>18</v>
      </c>
      <c r="B30">
        <v>0.96</v>
      </c>
      <c r="C30" s="3"/>
      <c r="D30" s="3"/>
    </row>
    <row r="31" spans="1:4" x14ac:dyDescent="0.35">
      <c r="A31" t="s">
        <v>19</v>
      </c>
      <c r="B31">
        <v>0.16</v>
      </c>
      <c r="C31" s="3"/>
      <c r="D31" s="3"/>
    </row>
    <row r="32" spans="1:4" x14ac:dyDescent="0.35">
      <c r="A32" s="8"/>
      <c r="C32" s="3"/>
      <c r="D32" s="3"/>
    </row>
    <row r="33" spans="1:4" x14ac:dyDescent="0.35">
      <c r="A33" s="8" t="s">
        <v>29</v>
      </c>
      <c r="B33" s="12">
        <v>6.04</v>
      </c>
      <c r="C33" s="10">
        <f>(B33/$B$44)</f>
        <v>0.15467349551856596</v>
      </c>
      <c r="D33" s="3">
        <f>B33/$B$38</f>
        <v>0.18804483188044835</v>
      </c>
    </row>
    <row r="34" spans="1:4" x14ac:dyDescent="0.35">
      <c r="A34" t="s">
        <v>20</v>
      </c>
      <c r="B34">
        <v>0.98</v>
      </c>
      <c r="C34" s="3"/>
      <c r="D34" s="3"/>
    </row>
    <row r="35" spans="1:4" x14ac:dyDescent="0.35">
      <c r="A35" t="s">
        <v>21</v>
      </c>
      <c r="B35">
        <v>0.64</v>
      </c>
      <c r="C35" s="3"/>
      <c r="D35" s="3"/>
    </row>
    <row r="36" spans="1:4" x14ac:dyDescent="0.35">
      <c r="A36" t="s">
        <v>22</v>
      </c>
      <c r="B36">
        <v>0.56999999999999995</v>
      </c>
      <c r="C36" s="3"/>
      <c r="D36" s="3"/>
    </row>
    <row r="37" spans="1:4" x14ac:dyDescent="0.35">
      <c r="C37" s="3"/>
      <c r="D37" s="3"/>
    </row>
    <row r="38" spans="1:4" x14ac:dyDescent="0.35">
      <c r="A38" s="9" t="s">
        <v>46</v>
      </c>
      <c r="B38" s="9">
        <f>SUM(B2,B7,B14,B18,B21,B29,B33)</f>
        <v>32.119999999999997</v>
      </c>
      <c r="C38" s="3"/>
      <c r="D38" s="9">
        <f>SUM(D2:D33)</f>
        <v>1</v>
      </c>
    </row>
    <row r="39" spans="1:4" x14ac:dyDescent="0.35">
      <c r="C39" s="3"/>
    </row>
    <row r="40" spans="1:4" x14ac:dyDescent="0.35">
      <c r="A40" s="8" t="s">
        <v>38</v>
      </c>
      <c r="B40" s="12">
        <v>2.89</v>
      </c>
      <c r="C40" s="3">
        <f>B40/B44</f>
        <v>7.4007682458386695E-2</v>
      </c>
    </row>
    <row r="41" spans="1:4" x14ac:dyDescent="0.35">
      <c r="A41" s="8" t="s">
        <v>39</v>
      </c>
      <c r="B41" s="12">
        <v>3.61</v>
      </c>
      <c r="C41" s="3">
        <f>B41/B44</f>
        <v>9.2445582586427655E-2</v>
      </c>
    </row>
    <row r="42" spans="1:4" x14ac:dyDescent="0.35">
      <c r="A42" s="8" t="s">
        <v>40</v>
      </c>
      <c r="B42" s="9">
        <v>0.43</v>
      </c>
      <c r="C42" s="3">
        <f>B42/B44</f>
        <v>1.1011523687580026E-2</v>
      </c>
    </row>
    <row r="43" spans="1:4" x14ac:dyDescent="0.35">
      <c r="C43" s="3"/>
    </row>
    <row r="44" spans="1:4" x14ac:dyDescent="0.35">
      <c r="A44" s="8" t="s">
        <v>45</v>
      </c>
      <c r="B44" s="9">
        <f>SUM(B33,B29,B21,B18,B14,B7,B2,B40,B41,B42)</f>
        <v>39.049999999999997</v>
      </c>
      <c r="C44" s="10">
        <f>SUM(C33,C29,C21,C18,C14,C7,C2,C40,C41,C42)</f>
        <v>1.0000000000000002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000B0-724B-4BFE-B1BA-DD4E3EF4225B}">
  <dimension ref="A1:G44"/>
  <sheetViews>
    <sheetView tabSelected="1" topLeftCell="A14" zoomScaleNormal="100" workbookViewId="0">
      <selection activeCell="F23" sqref="F23"/>
    </sheetView>
  </sheetViews>
  <sheetFormatPr defaultRowHeight="14.5" x14ac:dyDescent="0.35"/>
  <cols>
    <col min="1" max="1" width="22" customWidth="1"/>
    <col min="2" max="2" width="9.36328125" bestFit="1" customWidth="1"/>
  </cols>
  <sheetData>
    <row r="1" spans="1:7" x14ac:dyDescent="0.35">
      <c r="B1" t="s">
        <v>47</v>
      </c>
    </row>
    <row r="2" spans="1:7" x14ac:dyDescent="0.35">
      <c r="B2" s="5">
        <v>45474</v>
      </c>
      <c r="C2" s="5">
        <v>45505</v>
      </c>
      <c r="D2" s="5">
        <v>45536</v>
      </c>
      <c r="E2" s="5">
        <v>45839</v>
      </c>
      <c r="F2" s="5">
        <v>45870</v>
      </c>
      <c r="G2" s="5">
        <v>45901</v>
      </c>
    </row>
    <row r="3" spans="1:7" x14ac:dyDescent="0.35">
      <c r="A3" s="1" t="s">
        <v>24</v>
      </c>
      <c r="B3" s="24">
        <f>calc!B6*weights!$D2</f>
        <v>0.32061166923735451</v>
      </c>
      <c r="C3" s="24">
        <f>calc!C6*weights!$D2</f>
        <v>0.31171661226874697</v>
      </c>
      <c r="D3" s="24">
        <f>calc!D6*weights!$D2</f>
        <v>0.30971690495774973</v>
      </c>
      <c r="E3">
        <f>calc!E6*weights!$D2</f>
        <v>0.29846229363273119</v>
      </c>
      <c r="F3">
        <f>calc!F6*weights!$D2</f>
        <v>0.30430748391415674</v>
      </c>
      <c r="G3">
        <f>calc!G6*weights!$D2</f>
        <v>0.30440610535680285</v>
      </c>
    </row>
    <row r="4" spans="1:7" x14ac:dyDescent="0.35">
      <c r="A4" s="1" t="s">
        <v>25</v>
      </c>
      <c r="B4">
        <f>calc!B13*weights!$D7</f>
        <v>8.346800585403763E-2</v>
      </c>
      <c r="C4">
        <f>calc!C13*weights!$D7</f>
        <v>8.1320992039492043E-2</v>
      </c>
      <c r="D4">
        <f>calc!D13*weights!$D7</f>
        <v>7.5899848032218165E-2</v>
      </c>
      <c r="E4">
        <f>calc!E13*weights!$D7</f>
        <v>6.6205844405911207E-2</v>
      </c>
      <c r="F4">
        <f>calc!F13*weights!$D7</f>
        <v>6.70770719964634E-2</v>
      </c>
      <c r="G4">
        <f>calc!G13*weights!$D7</f>
        <v>6.9364485657006966E-2</v>
      </c>
    </row>
    <row r="5" spans="1:7" x14ac:dyDescent="0.35">
      <c r="A5" s="1" t="s">
        <v>26</v>
      </c>
      <c r="B5">
        <f>calc!B17*weights!$D14</f>
        <v>4.4683279856855877E-2</v>
      </c>
      <c r="C5">
        <f>calc!C17*weights!$D14</f>
        <v>4.4338629648444809E-2</v>
      </c>
      <c r="D5">
        <f>calc!D17*weights!$D14</f>
        <v>4.3954359699154004E-2</v>
      </c>
      <c r="E5" s="3">
        <f>calc!E17*weights!$D14</f>
        <v>4.3219598902537903E-2</v>
      </c>
      <c r="F5" s="3">
        <f>calc!F17*weights!$D14</f>
        <v>4.3540303915919398E-2</v>
      </c>
      <c r="G5" s="3">
        <f>calc!G17*weights!$D14</f>
        <v>4.3743622930452024E-2</v>
      </c>
    </row>
    <row r="6" spans="1:7" x14ac:dyDescent="0.35">
      <c r="A6" s="1" t="s">
        <v>10</v>
      </c>
      <c r="B6">
        <f>calc!B19*weights!$D18</f>
        <v>0.21059938796634528</v>
      </c>
      <c r="C6">
        <f>calc!C19*weights!$D18</f>
        <v>0.21050710854228938</v>
      </c>
      <c r="D6">
        <f>calc!D19*weights!$D18</f>
        <v>0.20747643481519853</v>
      </c>
      <c r="E6">
        <f>calc!E19*weights!$D18</f>
        <v>0.20513709248988163</v>
      </c>
      <c r="F6">
        <f>calc!F19*weights!$D18</f>
        <v>0.20531532810570099</v>
      </c>
      <c r="G6">
        <f>calc!G19*weights!$D18</f>
        <v>0.20812918333704436</v>
      </c>
    </row>
    <row r="7" spans="1:7" x14ac:dyDescent="0.35">
      <c r="A7" s="1" t="s">
        <v>27</v>
      </c>
      <c r="B7">
        <f>calc!B24*weights!$D21</f>
        <v>0.10919508829170903</v>
      </c>
      <c r="C7">
        <f>calc!C24*weights!$D21</f>
        <v>0.10799604316912677</v>
      </c>
      <c r="D7">
        <f>calc!D24*weights!$D21</f>
        <v>0.11474965932545259</v>
      </c>
      <c r="E7">
        <f>calc!E24*weights!$D21</f>
        <v>0.12978505419004896</v>
      </c>
      <c r="F7">
        <f>calc!F24*weights!$D21</f>
        <v>0.13400951191277821</v>
      </c>
      <c r="G7">
        <f>calc!G24*weights!$D21</f>
        <v>0.12585579567353813</v>
      </c>
    </row>
    <row r="8" spans="1:7" x14ac:dyDescent="0.35">
      <c r="A8" s="1" t="s">
        <v>28</v>
      </c>
      <c r="B8">
        <f>calc!B32*weights!$D29</f>
        <v>7.9034796024536419E-2</v>
      </c>
      <c r="C8">
        <f>calc!C32*weights!$D29</f>
        <v>7.6513074047284621E-2</v>
      </c>
      <c r="D8">
        <f>calc!D32*weights!$D29</f>
        <v>7.553393601730439E-2</v>
      </c>
      <c r="E8">
        <f>calc!E32*weights!$D29</f>
        <v>7.5110704256227734E-2</v>
      </c>
      <c r="F8">
        <f>calc!F32*weights!$D29</f>
        <v>7.6628711478010147E-2</v>
      </c>
      <c r="G8">
        <f>calc!G32*weights!$D29</f>
        <v>7.7866569392177995E-2</v>
      </c>
    </row>
    <row r="9" spans="1:7" x14ac:dyDescent="0.35">
      <c r="A9" s="1" t="s">
        <v>29</v>
      </c>
      <c r="B9">
        <f>calc!B37*weights!$D33</f>
        <v>0.24292139586047004</v>
      </c>
      <c r="C9">
        <f>calc!C37*weights!$D33</f>
        <v>0.22252823037201855</v>
      </c>
      <c r="D9">
        <f>calc!D37*weights!$D33</f>
        <v>0.22297268005267651</v>
      </c>
      <c r="E9">
        <f>calc!E37*weights!$D33</f>
        <v>0.12418981697550856</v>
      </c>
      <c r="F9">
        <f>calc!F37*weights!$D33</f>
        <v>0.14784013069399424</v>
      </c>
      <c r="G9">
        <f>calc!G37*weights!$D33</f>
        <v>0.15809700157049442</v>
      </c>
    </row>
    <row r="10" spans="1:7" x14ac:dyDescent="0.35">
      <c r="A10" s="7" t="s">
        <v>45</v>
      </c>
      <c r="B10" s="9">
        <f>SUM(B3:B9)</f>
        <v>1.0905136230913088</v>
      </c>
      <c r="C10" s="9">
        <f t="shared" ref="C10" si="0">SUM(C3:C9)</f>
        <v>1.0549206900874031</v>
      </c>
      <c r="D10" s="9">
        <f t="shared" ref="D10" si="1">SUM(D3:D9)</f>
        <v>1.0503038228997539</v>
      </c>
      <c r="E10" s="9">
        <f>SUM(E3:E9)</f>
        <v>0.94211040485284714</v>
      </c>
      <c r="F10" s="9">
        <f t="shared" ref="F10:G10" si="2">SUM(F3:F9)</f>
        <v>0.97871854201702324</v>
      </c>
      <c r="G10" s="9">
        <f t="shared" si="2"/>
        <v>0.98746276391751675</v>
      </c>
    </row>
    <row r="12" spans="1:7" x14ac:dyDescent="0.35">
      <c r="A12" s="15"/>
    </row>
    <row r="13" spans="1:7" x14ac:dyDescent="0.35">
      <c r="A13" s="14"/>
    </row>
    <row r="14" spans="1:7" x14ac:dyDescent="0.35">
      <c r="A14" s="16"/>
      <c r="B14" s="4">
        <v>45170</v>
      </c>
      <c r="C14" s="4">
        <v>45139</v>
      </c>
      <c r="D14" s="4">
        <v>45108</v>
      </c>
      <c r="E14" s="21">
        <v>45536</v>
      </c>
      <c r="F14" s="4">
        <v>45505</v>
      </c>
      <c r="G14" s="4">
        <v>45474</v>
      </c>
    </row>
    <row r="15" spans="1:7" x14ac:dyDescent="0.35">
      <c r="A15" s="15" t="s">
        <v>52</v>
      </c>
      <c r="B15">
        <v>188.4</v>
      </c>
      <c r="C15">
        <v>192.5</v>
      </c>
      <c r="D15">
        <v>193.8</v>
      </c>
      <c r="E15">
        <v>205.8</v>
      </c>
      <c r="F15">
        <v>203.4</v>
      </c>
      <c r="G15">
        <v>204.3</v>
      </c>
    </row>
    <row r="16" spans="1:7" x14ac:dyDescent="0.35">
      <c r="A16" s="20"/>
    </row>
    <row r="17" spans="1:7" x14ac:dyDescent="0.35">
      <c r="A17" s="15" t="s">
        <v>48</v>
      </c>
      <c r="B17" s="21">
        <v>45536</v>
      </c>
      <c r="C17" s="4">
        <v>45505</v>
      </c>
      <c r="D17" s="4">
        <v>45474</v>
      </c>
      <c r="E17" s="4">
        <v>45901</v>
      </c>
      <c r="F17" s="4">
        <v>45870</v>
      </c>
      <c r="G17" s="4">
        <v>45839</v>
      </c>
    </row>
    <row r="18" spans="1:7" x14ac:dyDescent="0.35">
      <c r="A18" s="14"/>
      <c r="B18">
        <f>B15*D10</f>
        <v>197.87724023431363</v>
      </c>
      <c r="C18">
        <f>C10*C15</f>
        <v>203.0722328418251</v>
      </c>
      <c r="D18">
        <f>D15*B10</f>
        <v>211.34154015509566</v>
      </c>
      <c r="E18">
        <f>G10*E15</f>
        <v>203.21983681422495</v>
      </c>
      <c r="F18">
        <f>F10*F15</f>
        <v>199.07135144626253</v>
      </c>
      <c r="G18">
        <f>E10*G15</f>
        <v>192.47315571143668</v>
      </c>
    </row>
    <row r="19" spans="1:7" x14ac:dyDescent="0.35">
      <c r="A19" s="16"/>
      <c r="E19" s="17"/>
    </row>
    <row r="20" spans="1:7" x14ac:dyDescent="0.35">
      <c r="A20" s="22" t="s">
        <v>49</v>
      </c>
      <c r="B20" s="23">
        <f>B15-B18</f>
        <v>-9.4772402343136264</v>
      </c>
      <c r="C20" s="23">
        <f>C15-C18</f>
        <v>-10.572232841825098</v>
      </c>
      <c r="D20" s="23">
        <f t="shared" ref="D20:G20" si="3">D15-D18</f>
        <v>-17.541540155095646</v>
      </c>
      <c r="E20" s="23">
        <f>E15-E18</f>
        <v>2.5801631857750635</v>
      </c>
      <c r="F20" s="23">
        <f>F15-F18</f>
        <v>4.3286485537374801</v>
      </c>
      <c r="G20" s="23">
        <f t="shared" si="3"/>
        <v>11.826844288563336</v>
      </c>
    </row>
    <row r="21" spans="1:7" x14ac:dyDescent="0.35">
      <c r="A21" s="16"/>
    </row>
    <row r="22" spans="1:7" x14ac:dyDescent="0.35">
      <c r="A22" s="16" t="s">
        <v>50</v>
      </c>
      <c r="E22">
        <f>(E18-B18)/B18*100</f>
        <v>2.6999550699135249</v>
      </c>
      <c r="F22">
        <f>(F18-C18)/C18*100</f>
        <v>-1.9701764931490646</v>
      </c>
      <c r="G22">
        <f>(G18-D18)/D18*100</f>
        <v>-8.927910920783571</v>
      </c>
    </row>
    <row r="23" spans="1:7" x14ac:dyDescent="0.35">
      <c r="A23" s="16" t="s">
        <v>51</v>
      </c>
      <c r="F23">
        <v>-0.69</v>
      </c>
      <c r="G23">
        <v>-1.76</v>
      </c>
    </row>
    <row r="24" spans="1:7" x14ac:dyDescent="0.35">
      <c r="A24" s="16"/>
    </row>
    <row r="25" spans="1:7" x14ac:dyDescent="0.35">
      <c r="A25" s="16"/>
    </row>
    <row r="26" spans="1:7" x14ac:dyDescent="0.35">
      <c r="A26" s="16"/>
    </row>
    <row r="27" spans="1:7" x14ac:dyDescent="0.35">
      <c r="A27" s="16"/>
      <c r="B27" s="19"/>
    </row>
    <row r="28" spans="1:7" x14ac:dyDescent="0.35">
      <c r="A28" s="16"/>
    </row>
    <row r="29" spans="1:7" x14ac:dyDescent="0.35">
      <c r="A29" s="16"/>
      <c r="B29" s="19"/>
    </row>
    <row r="30" spans="1:7" x14ac:dyDescent="0.35">
      <c r="A30" s="16"/>
    </row>
    <row r="31" spans="1:7" x14ac:dyDescent="0.35">
      <c r="A31" s="16"/>
    </row>
    <row r="32" spans="1:7" x14ac:dyDescent="0.35">
      <c r="A32" s="16"/>
    </row>
    <row r="33" spans="1:2" x14ac:dyDescent="0.35">
      <c r="A33" s="16"/>
    </row>
    <row r="34" spans="1:2" x14ac:dyDescent="0.35">
      <c r="A34" s="16"/>
      <c r="B34" s="19"/>
    </row>
    <row r="35" spans="1:2" x14ac:dyDescent="0.35">
      <c r="A35" s="16"/>
      <c r="B35" s="18"/>
    </row>
    <row r="36" spans="1:2" x14ac:dyDescent="0.35">
      <c r="A36" s="16"/>
    </row>
    <row r="37" spans="1:2" x14ac:dyDescent="0.35">
      <c r="A37" s="16"/>
    </row>
    <row r="38" spans="1:2" x14ac:dyDescent="0.35">
      <c r="A38" s="16"/>
    </row>
    <row r="39" spans="1:2" x14ac:dyDescent="0.35">
      <c r="A39" s="20"/>
    </row>
    <row r="40" spans="1:2" x14ac:dyDescent="0.35">
      <c r="A40" s="20"/>
    </row>
    <row r="41" spans="1:2" x14ac:dyDescent="0.35">
      <c r="A41" s="16"/>
    </row>
    <row r="42" spans="1:2" x14ac:dyDescent="0.35">
      <c r="A42" s="16"/>
    </row>
    <row r="43" spans="1:2" x14ac:dyDescent="0.35">
      <c r="A43" s="16"/>
    </row>
    <row r="44" spans="1:2" x14ac:dyDescent="0.35">
      <c r="A44" s="1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E8DCA-4735-4B1E-A3D6-CFBE39104235}">
  <dimension ref="A1:E17"/>
  <sheetViews>
    <sheetView workbookViewId="0">
      <selection activeCell="H6" sqref="H6"/>
    </sheetView>
  </sheetViews>
  <sheetFormatPr defaultRowHeight="14.5" x14ac:dyDescent="0.35"/>
  <sheetData>
    <row r="1" spans="1:5" x14ac:dyDescent="0.35">
      <c r="B1" t="s">
        <v>42</v>
      </c>
    </row>
    <row r="2" spans="1:5" x14ac:dyDescent="0.35">
      <c r="B2" s="5">
        <v>45809</v>
      </c>
      <c r="C2" s="5">
        <v>45839</v>
      </c>
      <c r="D2" s="5">
        <v>45870</v>
      </c>
      <c r="E2" s="5"/>
    </row>
    <row r="3" spans="1:5" x14ac:dyDescent="0.35">
      <c r="A3" t="s">
        <v>38</v>
      </c>
      <c r="B3">
        <v>207.6</v>
      </c>
      <c r="C3">
        <v>213.5</v>
      </c>
      <c r="D3">
        <v>213.7</v>
      </c>
    </row>
    <row r="4" spans="1:5" x14ac:dyDescent="0.35">
      <c r="A4" t="s">
        <v>41</v>
      </c>
      <c r="B4">
        <v>230.8</v>
      </c>
      <c r="C4">
        <v>229.3</v>
      </c>
      <c r="D4">
        <v>226.6</v>
      </c>
    </row>
    <row r="5" spans="1:5" x14ac:dyDescent="0.35">
      <c r="A5" t="s">
        <v>40</v>
      </c>
      <c r="B5">
        <v>194.9</v>
      </c>
      <c r="C5">
        <v>198.6</v>
      </c>
      <c r="D5">
        <v>195.2</v>
      </c>
    </row>
    <row r="7" spans="1:5" x14ac:dyDescent="0.35">
      <c r="B7" t="s">
        <v>23</v>
      </c>
    </row>
    <row r="8" spans="1:5" x14ac:dyDescent="0.35">
      <c r="B8" s="5">
        <v>45809</v>
      </c>
      <c r="C8" s="5">
        <v>45839</v>
      </c>
      <c r="D8" s="5">
        <v>45870</v>
      </c>
    </row>
    <row r="9" spans="1:5" x14ac:dyDescent="0.35">
      <c r="A9" t="s">
        <v>38</v>
      </c>
      <c r="B9">
        <v>7.6763485477178331E-2</v>
      </c>
      <c r="C9">
        <v>8.4857723577235714E-2</v>
      </c>
      <c r="D9">
        <v>5.2709359605911277E-2</v>
      </c>
    </row>
    <row r="10" spans="1:5" x14ac:dyDescent="0.35">
      <c r="A10" t="s">
        <v>41</v>
      </c>
      <c r="B10">
        <v>2.8520499108734429E-2</v>
      </c>
      <c r="C10">
        <v>3.0098831985624516E-2</v>
      </c>
      <c r="D10">
        <v>2.2101939557961237E-2</v>
      </c>
    </row>
    <row r="11" spans="1:5" x14ac:dyDescent="0.35">
      <c r="A11" t="s">
        <v>40</v>
      </c>
      <c r="B11">
        <v>-6.1087061087061169E-2</v>
      </c>
      <c r="C11">
        <v>8.6338242762823182E-3</v>
      </c>
      <c r="D11">
        <v>4.0576615056059764E-2</v>
      </c>
    </row>
    <row r="13" spans="1:5" x14ac:dyDescent="0.35">
      <c r="B13" t="s">
        <v>43</v>
      </c>
    </row>
    <row r="14" spans="1:5" x14ac:dyDescent="0.35">
      <c r="B14" s="5">
        <v>45901</v>
      </c>
      <c r="C14" s="5">
        <v>45870</v>
      </c>
      <c r="D14" s="5">
        <v>45839</v>
      </c>
    </row>
    <row r="15" spans="1:5" x14ac:dyDescent="0.35">
      <c r="A15" t="s">
        <v>38</v>
      </c>
      <c r="B15">
        <f>D3*(1+D9)</f>
        <v>224.96399014778325</v>
      </c>
      <c r="C15">
        <f>C3*(1+C9)</f>
        <v>231.61712398373982</v>
      </c>
      <c r="D15">
        <f>B3*(1+B9)</f>
        <v>223.53609958506223</v>
      </c>
    </row>
    <row r="16" spans="1:5" x14ac:dyDescent="0.35">
      <c r="A16" t="s">
        <v>41</v>
      </c>
      <c r="B16">
        <f t="shared" ref="B16:B17" si="0">D4*(1+D10)</f>
        <v>231.60829950383399</v>
      </c>
      <c r="C16">
        <f t="shared" ref="C16:C17" si="1">C4*(1+C10)</f>
        <v>236.20166217430372</v>
      </c>
      <c r="D16">
        <f t="shared" ref="D16:D17" si="2">B4*(1+B10)</f>
        <v>237.38253119429592</v>
      </c>
    </row>
    <row r="17" spans="1:4" x14ac:dyDescent="0.35">
      <c r="A17" t="s">
        <v>40</v>
      </c>
      <c r="B17">
        <f t="shared" si="0"/>
        <v>203.12055525894286</v>
      </c>
      <c r="C17">
        <f t="shared" si="1"/>
        <v>200.31467750126964</v>
      </c>
      <c r="D17">
        <f t="shared" si="2"/>
        <v>182.99413179413179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</vt:lpstr>
      <vt:lpstr>calc</vt:lpstr>
      <vt:lpstr>weights</vt:lpstr>
      <vt:lpstr>index</vt:lpstr>
      <vt:lpstr>fruits, meat and eggs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Medha S</dc:creator>
  <cp:lastModifiedBy>Medha S</cp:lastModifiedBy>
  <dcterms:created xsi:type="dcterms:W3CDTF">2025-10-07T07:05:39Z</dcterms:created>
  <dcterms:modified xsi:type="dcterms:W3CDTF">2026-01-14T21:23:47Z</dcterms:modified>
</cp:coreProperties>
</file>