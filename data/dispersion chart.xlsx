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DAE\Macroeconomic Forecasting\"/>
    </mc:Choice>
  </mc:AlternateContent>
  <xr:revisionPtr revIDLastSave="0" documentId="13_ncr:1_{AD9A6750-DD05-4CC8-B2D7-9E55B4A0DC80}" xr6:coauthVersionLast="47" xr6:coauthVersionMax="47" xr10:uidLastSave="{00000000-0000-0000-0000-000000000000}"/>
  <bookViews>
    <workbookView xWindow="-110" yWindow="-110" windowWidth="19420" windowHeight="10300" firstSheet="2" activeTab="5" xr2:uid="{88FE5D58-91FF-4E14-81B9-8604A8D8E616}"/>
  </bookViews>
  <sheets>
    <sheet name="Raw Index" sheetId="1" r:id="rId1"/>
    <sheet name="All except broad" sheetId="10" r:id="rId2"/>
    <sheet name="Transpose" sheetId="2" r:id="rId3"/>
    <sheet name="Broad Components" sheetId="7" r:id="rId4"/>
    <sheet name="Food Components" sheetId="8" r:id="rId5"/>
    <sheet name="Misc Comps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B27" i="1"/>
  <c r="B20" i="1"/>
  <c r="B19" i="1"/>
  <c r="B17" i="1"/>
  <c r="B16" i="1"/>
  <c r="B18" i="1" s="1"/>
  <c r="B15" i="1"/>
  <c r="B14" i="1"/>
  <c r="M21" i="9" l="1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E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C3" i="9"/>
  <c r="C2" i="9"/>
  <c r="B24" i="8"/>
  <c r="B26" i="7"/>
  <c r="B23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Y8" i="8"/>
  <c r="Y7" i="8"/>
  <c r="Y6" i="8"/>
  <c r="Y5" i="8"/>
  <c r="Y4" i="8"/>
  <c r="Y3" i="8"/>
  <c r="Y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W3" i="8"/>
  <c r="W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U8" i="8"/>
  <c r="U7" i="8"/>
  <c r="U6" i="8"/>
  <c r="U5" i="8"/>
  <c r="U4" i="8"/>
  <c r="U3" i="8"/>
  <c r="U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S5" i="8"/>
  <c r="S4" i="8"/>
  <c r="S3" i="8"/>
  <c r="S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B25" i="7"/>
  <c r="AG3" i="2"/>
  <c r="AG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4" i="2"/>
  <c r="U3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" i="2"/>
  <c r="AI7" i="2"/>
  <c r="AI6" i="2"/>
  <c r="AI5" i="2"/>
  <c r="AI4" i="2"/>
  <c r="AI3" i="2"/>
  <c r="AI2" i="2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C31" i="1"/>
</calcChain>
</file>

<file path=xl/sharedStrings.xml><?xml version="1.0" encoding="utf-8"?>
<sst xmlns="http://schemas.openxmlformats.org/spreadsheetml/2006/main" count="130" uniqueCount="52">
  <si>
    <t>Description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</si>
  <si>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</si>
  <si>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</si>
  <si>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</si>
  <si>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</si>
  <si>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</si>
  <si>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</si>
  <si>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</si>
  <si>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</si>
  <si>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</si>
  <si>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</si>
  <si>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</si>
  <si>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</si>
  <si>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</si>
  <si>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</si>
  <si>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</si>
  <si>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</si>
  <si>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</si>
  <si>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</si>
  <si>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</si>
  <si>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</si>
  <si>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</si>
  <si>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</si>
  <si>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</si>
  <si>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</si>
  <si>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</si>
  <si>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</si>
  <si>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Weight</t>
  </si>
  <si>
    <t>GPI</t>
  </si>
  <si>
    <t>Dates</t>
  </si>
  <si>
    <t>MAX</t>
  </si>
  <si>
    <t>MIN</t>
  </si>
  <si>
    <t>Cereals Band</t>
  </si>
  <si>
    <t>Mead Band</t>
  </si>
  <si>
    <t>Egg Band</t>
  </si>
  <si>
    <t>Milk Band</t>
  </si>
  <si>
    <t>Oil Band</t>
  </si>
  <si>
    <t>Fruits Band</t>
  </si>
  <si>
    <t>Vegetables Band</t>
  </si>
  <si>
    <t>Pulses Band</t>
  </si>
  <si>
    <t>Sugar Band</t>
  </si>
  <si>
    <t>Spices Band</t>
  </si>
  <si>
    <t>Non-alchoholic Band</t>
  </si>
  <si>
    <t>Prepared Band</t>
  </si>
  <si>
    <t>HH Band</t>
  </si>
  <si>
    <t>Health Band</t>
  </si>
  <si>
    <t>Trans Band</t>
  </si>
  <si>
    <t>Rec Band</t>
  </si>
  <si>
    <t>Educ Band</t>
  </si>
  <si>
    <t>Pers Band</t>
  </si>
  <si>
    <t>Date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</si>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</sst>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/yyyy"/>
    <numFmt numFmtId="165" formatCode="mmmm\ 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right"/>
    </xf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2">
    <dxf>
      <numFmt numFmtId="164" formatCode="mm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CDB5B-CC12-4069-BC79-ECB1566938F6}" name="Table1" displayName="Table1" ref="A1:H22" totalsRowShown="0" headerRowDxfId="1">
  <autoFilter ref="A1:H22" xr:uid="{D13CDB5B-CC12-4069-BC79-ECB1566938F6}"/>
  <tableColumns count="8">
    <tableColumn id="1" xr3:uid="{C5E56D28-B2BF-461F-9918-DAC5AD585A7E}" name="Dates" dataDxfId="0"/>
    <tableColumn id="2" xr3:uid="{3CD1D584-0F7D-4CCB-BC1F-05BAA66E2CA9}" name="Food and beverages"/>
    <tableColumn id="4" xr3:uid="{972F9773-EDF1-49F2-B95C-0EDAC8ABDDCB}" name="Pan, tobacco and intoxicants"/>
    <tableColumn id="6" xr3:uid="{3941F248-E42F-4F28-BDD3-8A8D3B6875FF}" name="Clothing and footwear"/>
    <tableColumn id="8" xr3:uid="{C4215108-2093-4718-A6CB-FA70ABE10DE3}" name="Housing"/>
    <tableColumn id="10" xr3:uid="{595831B0-9866-404A-B0D5-B32B39270A74}" name="Fuel and light"/>
    <tableColumn id="12" xr3:uid="{AEBF3375-4C45-402F-94E5-D9E11BA0B8A9}" name="Miscellaneous"/>
    <tableColumn id="14" xr3:uid="{F7AA9720-363D-45BE-8A41-B0F0A5A0B00A}" name="CP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2F7CB30-9C7C-4DEA-BA93-4BF40203E598}">
  <we:reference id="wa200004935" version="6.0.0.0" store="en-US" storeType="OMEX"/>
  <we:alternateReferences>
    <we:reference id="wa200004935" version="6.0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2145-A0E5-4462-8396-05A6C9B21FF3}">
  <sheetPr codeName="Sheet1"/>
  <dimension ref="A1:V45"/>
  <sheetViews>
    <sheetView zoomScale="75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B18" sqref="B18"/>
    </sheetView>
  </sheetViews>
  <sheetFormatPr defaultRowHeight="14.5"/>
  <cols>
    <col min="1" max="1" width="30.7265625" bestFit="1" customWidth="1"/>
    <col min="2" max="2" width="16.453125" customWidth="1"/>
    <col min="3" max="3" width="12.54296875" bestFit="1" customWidth="1"/>
    <col min="4" max="4" width="13.6328125" bestFit="1" customWidth="1"/>
    <col min="5" max="5" width="11.54296875" bestFit="1" customWidth="1"/>
    <col min="6" max="9" width="11" bestFit="1" customWidth="1"/>
    <col min="10" max="10" width="12.08984375" bestFit="1" customWidth="1"/>
    <col min="11" max="11" width="15.453125" bestFit="1" customWidth="1"/>
    <col min="12" max="12" width="12.90625" bestFit="1" customWidth="1"/>
    <col min="13" max="13" width="15.08984375" bestFit="1" customWidth="1"/>
    <col min="14" max="14" width="14.7265625" bestFit="1" customWidth="1"/>
    <col min="15" max="15" width="12.54296875" bestFit="1" customWidth="1"/>
    <col min="16" max="16" width="13.6328125" bestFit="1" customWidth="1"/>
    <col min="17" max="17" width="11.54296875" bestFit="1" customWidth="1"/>
    <col min="18" max="21" width="11" bestFit="1" customWidth="1"/>
    <col min="22" max="22" width="12.08984375" bestFit="1" customWidth="1"/>
  </cols>
  <sheetData>
    <row r="1" spans="1:22">
      <c r="A1" t="s">
        <v>0</v>
      </c>
      <c r="B1" s="1" t="s">
        <v>27</v>
      </c>
      <c r="C1" s="5">
        <v>45292</v>
      </c>
      <c r="D1" s="5">
        <v>45323</v>
      </c>
      <c r="E1" s="5">
        <v>45352</v>
      </c>
      <c r="F1" s="5">
        <v>45383</v>
      </c>
      <c r="G1" s="5">
        <v>45413</v>
      </c>
      <c r="H1" s="5">
        <v>45444</v>
      </c>
      <c r="I1" s="5">
        <v>45474</v>
      </c>
      <c r="J1" s="5">
        <v>45505</v>
      </c>
      <c r="K1" s="5">
        <v>45536</v>
      </c>
      <c r="L1" s="5">
        <v>45566</v>
      </c>
      <c r="M1" s="5">
        <v>45597</v>
      </c>
      <c r="N1" s="5">
        <v>45627</v>
      </c>
      <c r="O1" s="5">
        <v>45658</v>
      </c>
      <c r="P1" s="5">
        <v>45689</v>
      </c>
      <c r="Q1" s="5">
        <v>45717</v>
      </c>
      <c r="R1" s="5">
        <v>45748</v>
      </c>
      <c r="S1" s="5">
        <v>45778</v>
      </c>
      <c r="T1" s="5">
        <v>45809</v>
      </c>
      <c r="U1" s="5">
        <v>45839</v>
      </c>
      <c r="V1" s="5">
        <v>45870</v>
      </c>
    </row>
    <row r="2" spans="1:22">
      <c r="A2" t="s">
        <v>1</v>
      </c>
      <c r="B2" s="7">
        <v>9.6699999999999994E-2</v>
      </c>
      <c r="C2">
        <v>7.8250863060989602</v>
      </c>
      <c r="D2">
        <v>7.6527698458024025</v>
      </c>
      <c r="E2">
        <v>8.3715596330275197</v>
      </c>
      <c r="F2">
        <v>8.6306098964326807</v>
      </c>
      <c r="G2">
        <v>8.6931491076568932</v>
      </c>
      <c r="H2">
        <v>8.7528604118993041</v>
      </c>
      <c r="I2">
        <v>8.1401921989824793</v>
      </c>
      <c r="J2">
        <v>7.3061907417735608</v>
      </c>
      <c r="K2">
        <v>6.8357221609702341</v>
      </c>
      <c r="L2">
        <v>6.9436850738108191</v>
      </c>
      <c r="M2">
        <v>6.8797399783315365</v>
      </c>
      <c r="N2">
        <v>6.5053763440860184</v>
      </c>
      <c r="O2">
        <v>6.243329775880464</v>
      </c>
      <c r="P2">
        <v>6.1007957559681696</v>
      </c>
      <c r="Q2">
        <v>5.9259259259259203</v>
      </c>
      <c r="R2">
        <v>5.3495762711864376</v>
      </c>
      <c r="S2">
        <v>4.7669491525423728</v>
      </c>
      <c r="T2">
        <v>3.7348763808521803</v>
      </c>
      <c r="U2">
        <v>3.0318870883429079</v>
      </c>
      <c r="V2">
        <v>2.7027027027026964</v>
      </c>
    </row>
    <row r="3" spans="1:22">
      <c r="A3" t="s">
        <v>2</v>
      </c>
      <c r="B3" s="7">
        <v>3.61E-2</v>
      </c>
      <c r="C3">
        <v>1.1865211200759376</v>
      </c>
      <c r="D3">
        <v>5.1616015436565306</v>
      </c>
      <c r="E3">
        <v>6.4034665382763656</v>
      </c>
      <c r="F3">
        <v>8.2178690874342983</v>
      </c>
      <c r="G3">
        <v>7.2795146990200621</v>
      </c>
      <c r="H3">
        <v>5.3908355795148255</v>
      </c>
      <c r="I3">
        <v>5.9228650137740937</v>
      </c>
      <c r="J3">
        <v>4.2970574497898264</v>
      </c>
      <c r="K3">
        <v>2.6182820395039124</v>
      </c>
      <c r="L3">
        <v>3.1680440771349758</v>
      </c>
      <c r="M3">
        <v>4.6728971962616823</v>
      </c>
      <c r="N3">
        <v>5.3005205868433451</v>
      </c>
      <c r="O3">
        <v>5.2532833020637977</v>
      </c>
      <c r="P3">
        <v>2.1100917431192636</v>
      </c>
      <c r="Q3">
        <v>0.31674208144795862</v>
      </c>
      <c r="R3">
        <v>-0.35320088300221253</v>
      </c>
      <c r="S3">
        <v>-0.43497172683775559</v>
      </c>
      <c r="T3">
        <v>-1.6197783461210498</v>
      </c>
      <c r="U3">
        <v>-0.60684872128304179</v>
      </c>
      <c r="V3">
        <v>1.4778325123152631</v>
      </c>
    </row>
    <row r="4" spans="1:22">
      <c r="A4" t="s">
        <v>3</v>
      </c>
      <c r="B4" s="7">
        <v>4.3E-3</v>
      </c>
      <c r="C4">
        <v>5.5526992287917798</v>
      </c>
      <c r="D4">
        <v>10.692853246044731</v>
      </c>
      <c r="E4">
        <v>10.331050228310517</v>
      </c>
      <c r="F4">
        <v>7.1344339622641471</v>
      </c>
      <c r="G4">
        <v>7.6789838337182514</v>
      </c>
      <c r="H4">
        <v>4.102844638949672</v>
      </c>
      <c r="I4">
        <v>6.8169323804288098</v>
      </c>
      <c r="J4">
        <v>7.0821529745042495</v>
      </c>
      <c r="K4">
        <v>6.3641394576646375</v>
      </c>
      <c r="L4">
        <v>4.9250535331905718</v>
      </c>
      <c r="M4">
        <v>4.8412285268089601</v>
      </c>
      <c r="N4">
        <v>6.8513853904282094</v>
      </c>
      <c r="O4">
        <v>1.2664393570384773</v>
      </c>
      <c r="P4">
        <v>-2.9571217348447512</v>
      </c>
      <c r="Q4">
        <v>-3.1039834454216244</v>
      </c>
      <c r="R4">
        <v>0.82553659878921293</v>
      </c>
      <c r="S4">
        <v>0.64343163538873382</v>
      </c>
      <c r="T4">
        <v>2.5748817656331986</v>
      </c>
      <c r="U4">
        <v>2.2130725681935064</v>
      </c>
      <c r="V4">
        <v>3.1216931216931245</v>
      </c>
    </row>
    <row r="5" spans="1:22">
      <c r="A5" t="s">
        <v>4</v>
      </c>
      <c r="B5" s="7">
        <v>6.6199999999999995E-2</v>
      </c>
      <c r="C5">
        <v>4.6391752577319556</v>
      </c>
      <c r="D5">
        <v>3.8592508513053416</v>
      </c>
      <c r="E5">
        <v>3.3840947546531304</v>
      </c>
      <c r="F5">
        <v>2.9708520179372098</v>
      </c>
      <c r="G5">
        <v>2.6183844011141999</v>
      </c>
      <c r="H5">
        <v>3.0000000000000031</v>
      </c>
      <c r="I5">
        <v>3.0470914127423825</v>
      </c>
      <c r="J5">
        <v>2.9249448123620376</v>
      </c>
      <c r="K5">
        <v>3.0303030303030303</v>
      </c>
      <c r="L5">
        <v>2.9686641011544834</v>
      </c>
      <c r="M5">
        <v>2.8540065861690547</v>
      </c>
      <c r="N5">
        <v>2.7960526315789442</v>
      </c>
      <c r="O5">
        <v>2.8461959496442351</v>
      </c>
      <c r="P5">
        <v>2.677595628415304</v>
      </c>
      <c r="Q5">
        <v>2.6186579378068644</v>
      </c>
      <c r="R5">
        <v>2.7218290691344587</v>
      </c>
      <c r="S5">
        <v>3.1487513572204189</v>
      </c>
      <c r="T5">
        <v>2.8047464940668765</v>
      </c>
      <c r="U5">
        <v>2.6881720430107525</v>
      </c>
      <c r="V5">
        <v>2.6273458445040245</v>
      </c>
    </row>
    <row r="6" spans="1:22">
      <c r="A6" t="s">
        <v>5</v>
      </c>
      <c r="B6" s="7">
        <v>3.56E-2</v>
      </c>
      <c r="C6">
        <v>-14.957264957264957</v>
      </c>
      <c r="D6">
        <v>-13.967391304347821</v>
      </c>
      <c r="E6">
        <v>-11.718750000000002</v>
      </c>
      <c r="F6">
        <v>-9.4339622641509422</v>
      </c>
      <c r="G6">
        <v>-6.7058823529411793</v>
      </c>
      <c r="H6">
        <v>-2.6763990267639937</v>
      </c>
      <c r="I6">
        <v>-1.1049723756906147</v>
      </c>
      <c r="J6">
        <v>-0.85942295887047626</v>
      </c>
      <c r="K6">
        <v>2.5277435265104948</v>
      </c>
      <c r="L6">
        <v>9.571162212554384</v>
      </c>
      <c r="M6">
        <v>13.2793017456359</v>
      </c>
      <c r="N6">
        <v>14.597629444791002</v>
      </c>
      <c r="O6">
        <v>15.640703517587944</v>
      </c>
      <c r="P6">
        <v>16.361339229311419</v>
      </c>
      <c r="Q6">
        <v>17.06700379266751</v>
      </c>
      <c r="R6">
        <v>17.424242424242419</v>
      </c>
      <c r="S6">
        <v>17.906683480453978</v>
      </c>
      <c r="T6">
        <v>17.750000000000004</v>
      </c>
      <c r="U6">
        <v>19.242706393544385</v>
      </c>
      <c r="V6">
        <v>21.238390092879264</v>
      </c>
    </row>
    <row r="7" spans="1:22">
      <c r="A7" t="s">
        <v>6</v>
      </c>
      <c r="B7" s="7">
        <v>2.8899999999999999E-2</v>
      </c>
      <c r="C7">
        <v>8.5912823752368883</v>
      </c>
      <c r="D7">
        <v>4.8318042813455691</v>
      </c>
      <c r="E7">
        <v>3.0088495575221206</v>
      </c>
      <c r="F7">
        <v>5.2183777651729937</v>
      </c>
      <c r="G7">
        <v>6.6782810685249716</v>
      </c>
      <c r="H7">
        <v>7.1511627906976809</v>
      </c>
      <c r="I7">
        <v>3.8418708240534554</v>
      </c>
      <c r="J7">
        <v>6.4516129032258034</v>
      </c>
      <c r="K7">
        <v>7.6490438695163077</v>
      </c>
      <c r="L7">
        <v>8.4310441094360655</v>
      </c>
      <c r="M7">
        <v>7.6793721973094105</v>
      </c>
      <c r="N7">
        <v>8.6039886039886007</v>
      </c>
      <c r="O7">
        <v>12.158231529959282</v>
      </c>
      <c r="P7">
        <v>14.819136522753794</v>
      </c>
      <c r="Q7">
        <v>16.265750286368846</v>
      </c>
      <c r="R7">
        <v>13.908355795148253</v>
      </c>
      <c r="S7">
        <v>12.738160043549268</v>
      </c>
      <c r="T7">
        <v>12.642430819316322</v>
      </c>
      <c r="U7">
        <v>14.47721179624665</v>
      </c>
      <c r="V7">
        <v>11.650992685475435</v>
      </c>
    </row>
    <row r="8" spans="1:22">
      <c r="A8" t="s">
        <v>7</v>
      </c>
      <c r="B8" s="7">
        <v>6.0400000000000002E-2</v>
      </c>
      <c r="C8">
        <v>27.095516569200772</v>
      </c>
      <c r="D8">
        <v>30.246502331778817</v>
      </c>
      <c r="E8">
        <v>28.337696335078522</v>
      </c>
      <c r="F8">
        <v>27.799227799227793</v>
      </c>
      <c r="G8">
        <v>27.391304347826086</v>
      </c>
      <c r="H8">
        <v>29.320817228050799</v>
      </c>
      <c r="I8">
        <v>6.8345323741007284</v>
      </c>
      <c r="J8">
        <v>10.747663551401862</v>
      </c>
      <c r="K8">
        <v>36.03830645161289</v>
      </c>
      <c r="L8">
        <v>42.230881636629313</v>
      </c>
      <c r="M8">
        <v>29.373549883990723</v>
      </c>
      <c r="N8">
        <v>26.555609995100447</v>
      </c>
      <c r="O8">
        <v>11.349693251533752</v>
      </c>
      <c r="P8">
        <v>-1.1253196930946234</v>
      </c>
      <c r="Q8">
        <v>-7.0372259051504251</v>
      </c>
      <c r="R8">
        <v>-10.97683786505538</v>
      </c>
      <c r="S8">
        <v>-13.700633837152607</v>
      </c>
      <c r="T8">
        <v>-18.915456874466262</v>
      </c>
      <c r="U8">
        <v>-20.650953984287323</v>
      </c>
      <c r="V8">
        <v>-15.918680475642502</v>
      </c>
    </row>
    <row r="9" spans="1:22">
      <c r="A9" t="s">
        <v>8</v>
      </c>
      <c r="B9" s="7">
        <v>2.3800000000000002E-2</v>
      </c>
      <c r="C9">
        <v>19.543592744294912</v>
      </c>
      <c r="D9">
        <v>18.896713615023465</v>
      </c>
      <c r="E9">
        <v>17.767387492694333</v>
      </c>
      <c r="F9">
        <v>16.839677047289499</v>
      </c>
      <c r="G9">
        <v>17.141230068337126</v>
      </c>
      <c r="H9">
        <v>16.070445789763358</v>
      </c>
      <c r="I9">
        <v>14.769065520945221</v>
      </c>
      <c r="J9">
        <v>13.597883597883593</v>
      </c>
      <c r="K9">
        <v>9.8118962887646219</v>
      </c>
      <c r="L9">
        <v>7.3835480673934475</v>
      </c>
      <c r="M9">
        <v>5.4119941491955119</v>
      </c>
      <c r="N9">
        <v>3.8312318137730386</v>
      </c>
      <c r="O9">
        <v>2.5452765540871209</v>
      </c>
      <c r="P9">
        <v>-0.34550839091805957</v>
      </c>
      <c r="Q9">
        <v>-2.7295285359801489</v>
      </c>
      <c r="R9">
        <v>-5.231984205330698</v>
      </c>
      <c r="S9">
        <v>-8.2158483228001842</v>
      </c>
      <c r="T9">
        <v>-11.759127548601239</v>
      </c>
      <c r="U9">
        <v>-13.757604117922313</v>
      </c>
      <c r="V9">
        <v>-14.53190498369818</v>
      </c>
    </row>
    <row r="10" spans="1:22">
      <c r="A10" t="s">
        <v>9</v>
      </c>
      <c r="B10" s="7">
        <v>1.3599999999999999E-2</v>
      </c>
      <c r="C10">
        <v>7.4318744838976061</v>
      </c>
      <c r="D10">
        <v>7.4750830564784039</v>
      </c>
      <c r="E10">
        <v>7.2499999999999911</v>
      </c>
      <c r="F10">
        <v>6.0181368507831801</v>
      </c>
      <c r="G10">
        <v>5.7049714751426128</v>
      </c>
      <c r="H10">
        <v>5.8299595141700316</v>
      </c>
      <c r="I10">
        <v>5.2208835341365463</v>
      </c>
      <c r="J10">
        <v>4.7011952191235107</v>
      </c>
      <c r="K10">
        <v>3.4591194968553389</v>
      </c>
      <c r="L10">
        <v>2.5660964230171159</v>
      </c>
      <c r="M10">
        <v>1.3066871637202282</v>
      </c>
      <c r="N10">
        <v>0.22970903522206076</v>
      </c>
      <c r="O10">
        <v>0.3074558032282903</v>
      </c>
      <c r="P10">
        <v>2.1638330757341442</v>
      </c>
      <c r="Q10">
        <v>3.8850038850038855</v>
      </c>
      <c r="R10">
        <v>4.5878693623639233</v>
      </c>
      <c r="S10">
        <v>4.1634541249036285</v>
      </c>
      <c r="T10">
        <v>3.5195103289977223</v>
      </c>
      <c r="U10">
        <v>3.2824427480916114</v>
      </c>
      <c r="V10">
        <v>3.7290715372907193</v>
      </c>
    </row>
    <row r="11" spans="1:22">
      <c r="A11" t="s">
        <v>10</v>
      </c>
      <c r="B11" s="7">
        <v>2.5000000000000001E-2</v>
      </c>
      <c r="C11">
        <v>16.314779270633398</v>
      </c>
      <c r="D11">
        <v>13.508353221957044</v>
      </c>
      <c r="E11">
        <v>11.397234144015263</v>
      </c>
      <c r="F11">
        <v>7.7501174260216059</v>
      </c>
      <c r="G11">
        <v>4.2660550458715649</v>
      </c>
      <c r="H11">
        <v>2.0618556701030903</v>
      </c>
      <c r="I11">
        <v>-1.427335640138401</v>
      </c>
      <c r="J11">
        <v>-4.3605870020964383</v>
      </c>
      <c r="K11">
        <v>-6.1342116097159343</v>
      </c>
      <c r="L11">
        <v>-7.0118222584590368</v>
      </c>
      <c r="M11">
        <v>-7.4269480519480569</v>
      </c>
      <c r="N11">
        <v>-7.4104234527687245</v>
      </c>
      <c r="O11">
        <v>-6.8481848184818448</v>
      </c>
      <c r="P11">
        <v>-5.8452481076534921</v>
      </c>
      <c r="Q11">
        <v>-4.9229452054794525</v>
      </c>
      <c r="R11">
        <v>-3.443766346992156</v>
      </c>
      <c r="S11">
        <v>-2.7716673999120154</v>
      </c>
      <c r="T11">
        <v>-3.0303030303030205</v>
      </c>
      <c r="U11">
        <v>-3.1154014918824022</v>
      </c>
      <c r="V11">
        <v>-3.2441911442349869</v>
      </c>
    </row>
    <row r="12" spans="1:22">
      <c r="A12" t="s">
        <v>11</v>
      </c>
      <c r="B12" s="7">
        <v>1.26E-2</v>
      </c>
      <c r="C12">
        <v>3.3255542590431668</v>
      </c>
      <c r="D12">
        <v>3.025014543339144</v>
      </c>
      <c r="E12">
        <v>2.8438769587927899</v>
      </c>
      <c r="F12">
        <v>2.6026604973973395</v>
      </c>
      <c r="G12">
        <v>2.4221453287197168</v>
      </c>
      <c r="H12">
        <v>2.3563218390804566</v>
      </c>
      <c r="I12">
        <v>2.2349570200573101</v>
      </c>
      <c r="J12">
        <v>2.3999999999999932</v>
      </c>
      <c r="K12">
        <v>2.565564424173318</v>
      </c>
      <c r="L12">
        <v>2.6719727117680434</v>
      </c>
      <c r="M12">
        <v>2.7195467422096384</v>
      </c>
      <c r="N12">
        <v>2.9994340690435837</v>
      </c>
      <c r="O12">
        <v>3.3879164313946921</v>
      </c>
      <c r="P12">
        <v>3.7267080745341583</v>
      </c>
      <c r="Q12">
        <v>4.0632054176072332</v>
      </c>
      <c r="R12">
        <v>4.3968432919954807</v>
      </c>
      <c r="S12">
        <v>4.5608108108108079</v>
      </c>
      <c r="T12">
        <v>4.3234138124649171</v>
      </c>
      <c r="U12">
        <v>4.5964125560538047</v>
      </c>
      <c r="V12">
        <v>4.2968750000000098</v>
      </c>
    </row>
    <row r="13" spans="1:22">
      <c r="A13" t="s">
        <v>12</v>
      </c>
      <c r="B13" s="7">
        <v>5.5500000000000001E-2</v>
      </c>
      <c r="C13">
        <v>9</v>
      </c>
      <c r="D13">
        <v>3.7460978147762836</v>
      </c>
      <c r="E13">
        <v>3.5751295336787594</v>
      </c>
      <c r="F13">
        <v>3.4625322997415964</v>
      </c>
      <c r="G13">
        <v>3.3470648815653967</v>
      </c>
      <c r="H13">
        <v>3.4394250513346964</v>
      </c>
      <c r="I13">
        <v>3.4818228366615376</v>
      </c>
      <c r="J13">
        <v>3.4658511722731968</v>
      </c>
      <c r="K13">
        <v>3.5587188612099649</v>
      </c>
      <c r="L13">
        <v>3.7018255578093364</v>
      </c>
      <c r="M13">
        <v>3.9493670886076004</v>
      </c>
      <c r="N13">
        <v>4.0383644623927308</v>
      </c>
      <c r="O13">
        <v>4.0744466800804799</v>
      </c>
      <c r="P13">
        <v>4.2126379137412258</v>
      </c>
      <c r="Q13">
        <v>4.3021510755377665</v>
      </c>
      <c r="R13">
        <v>4.445554445554448</v>
      </c>
      <c r="S13">
        <v>4.384653712007978</v>
      </c>
      <c r="T13">
        <v>4.3176178660049569</v>
      </c>
      <c r="U13">
        <v>4.4037605145967369</v>
      </c>
      <c r="V13">
        <v>4.1871921182266005</v>
      </c>
    </row>
    <row r="14" spans="1:22">
      <c r="A14" s="1" t="s">
        <v>13</v>
      </c>
      <c r="B14" s="1">
        <f>SUM(B2:B13)</f>
        <v>0.4587</v>
      </c>
      <c r="C14" s="1">
        <v>7.5834748160724423</v>
      </c>
      <c r="D14" s="1">
        <v>7.7576443941109945</v>
      </c>
      <c r="E14" s="1">
        <v>7.7401129943502758</v>
      </c>
      <c r="F14" s="1">
        <v>7.869589657110736</v>
      </c>
      <c r="G14" s="1">
        <v>7.872696817420433</v>
      </c>
      <c r="H14" s="1">
        <v>8.3560895685417869</v>
      </c>
      <c r="I14" s="1">
        <v>5.0645994832041401</v>
      </c>
      <c r="J14" s="1">
        <v>5.2987012987012934</v>
      </c>
      <c r="K14" s="1">
        <v>8.3597883597883662</v>
      </c>
      <c r="L14" s="1">
        <v>9.6909376636982714</v>
      </c>
      <c r="M14" s="1">
        <v>8.2035306334371807</v>
      </c>
      <c r="N14" s="1">
        <v>7.6882845188284614</v>
      </c>
      <c r="O14" s="1">
        <v>5.6812204103103694</v>
      </c>
      <c r="P14" s="1">
        <v>3.8360483447188556</v>
      </c>
      <c r="Q14" s="1">
        <v>2.8841111693759833</v>
      </c>
      <c r="R14" s="1">
        <v>2.1365294424179231</v>
      </c>
      <c r="S14" s="1">
        <v>1.5010351966873736</v>
      </c>
      <c r="T14" s="1">
        <v>-0.15120967741936056</v>
      </c>
      <c r="U14" s="1">
        <v>-0.83620265617315148</v>
      </c>
      <c r="V14" s="1">
        <v>4.9333991119892812E-2</v>
      </c>
    </row>
    <row r="15" spans="1:22">
      <c r="A15" s="1" t="s">
        <v>14</v>
      </c>
      <c r="B15" s="1">
        <f>2.38/100</f>
        <v>2.3799999999999998E-2</v>
      </c>
      <c r="C15" s="1">
        <v>3.2795156407669022</v>
      </c>
      <c r="D15" s="1">
        <v>3.1155778894472306</v>
      </c>
      <c r="E15" s="1">
        <v>3.1077694235588917</v>
      </c>
      <c r="F15" s="1">
        <v>2.9910269192422732</v>
      </c>
      <c r="G15" s="1">
        <v>3.0348258706467632</v>
      </c>
      <c r="H15" s="1">
        <v>3.0769230769230713</v>
      </c>
      <c r="I15" s="1">
        <v>3.018307768431467</v>
      </c>
      <c r="J15" s="1">
        <v>2.7093596059113301</v>
      </c>
      <c r="K15" s="1">
        <v>2.5061425061425036</v>
      </c>
      <c r="L15" s="1">
        <v>2.5012260912211839</v>
      </c>
      <c r="M15" s="1">
        <v>2.3483365949119288</v>
      </c>
      <c r="N15" s="1">
        <v>2.4938875305623442</v>
      </c>
      <c r="O15" s="1">
        <v>2.296042989741093</v>
      </c>
      <c r="P15" s="1">
        <v>2.4366471734892792</v>
      </c>
      <c r="Q15" s="1">
        <v>2.4793388429752179</v>
      </c>
      <c r="R15" s="1">
        <v>2.0813165537270142</v>
      </c>
      <c r="S15" s="1">
        <v>2.4142926122646067</v>
      </c>
      <c r="T15" s="1">
        <v>2.407318247472316</v>
      </c>
      <c r="U15" s="1">
        <v>2.4495677233429505</v>
      </c>
      <c r="V15" s="1">
        <v>2.4940047961630638</v>
      </c>
    </row>
    <row r="16" spans="1:22">
      <c r="A16" t="s">
        <v>15</v>
      </c>
      <c r="B16">
        <f>5.58/100</f>
        <v>5.5800000000000002E-2</v>
      </c>
      <c r="C16">
        <v>3.4613304488912955</v>
      </c>
      <c r="D16">
        <v>3.178879310344831</v>
      </c>
      <c r="E16">
        <v>3.1166039763568034</v>
      </c>
      <c r="F16">
        <v>2.8892455858748023</v>
      </c>
      <c r="G16">
        <v>2.8296849973304767</v>
      </c>
      <c r="H16">
        <v>2.7659574468085046</v>
      </c>
      <c r="I16">
        <v>2.7600849256900153</v>
      </c>
      <c r="J16">
        <v>2.752779248279507</v>
      </c>
      <c r="K16">
        <v>2.7997886951928064</v>
      </c>
      <c r="L16">
        <v>2.7894736842105323</v>
      </c>
      <c r="M16">
        <v>2.7821522309711346</v>
      </c>
      <c r="N16">
        <v>2.8287061288632822</v>
      </c>
      <c r="O16">
        <v>2.7182435964453679</v>
      </c>
      <c r="P16">
        <v>2.7676240208877343</v>
      </c>
      <c r="Q16">
        <v>2.7097446586763878</v>
      </c>
      <c r="R16">
        <v>2.7041081643265672</v>
      </c>
      <c r="S16">
        <v>2.7518172377985524</v>
      </c>
      <c r="T16">
        <v>2.639751552795043</v>
      </c>
      <c r="U16">
        <v>2.5826446280991737</v>
      </c>
      <c r="V16">
        <v>2.4214322514168045</v>
      </c>
    </row>
    <row r="17" spans="1:22">
      <c r="A17" t="s">
        <v>16</v>
      </c>
      <c r="B17">
        <f>0.95/100</f>
        <v>9.4999999999999998E-3</v>
      </c>
      <c r="C17">
        <v>2.8716216216216188</v>
      </c>
      <c r="D17">
        <v>2.6360067302299428</v>
      </c>
      <c r="E17">
        <v>2.5741466144376179</v>
      </c>
      <c r="F17">
        <v>2.3995535714285778</v>
      </c>
      <c r="G17">
        <v>2.1702838063439098</v>
      </c>
      <c r="H17">
        <v>2.0532741398446266</v>
      </c>
      <c r="I17">
        <v>1.9922523519645949</v>
      </c>
      <c r="J17">
        <v>2.0994475138121609</v>
      </c>
      <c r="K17">
        <v>1.984564498346193</v>
      </c>
      <c r="L17">
        <v>2.1475770925110163</v>
      </c>
      <c r="M17">
        <v>2.197802197802198</v>
      </c>
      <c r="N17">
        <v>2.0833333333333237</v>
      </c>
      <c r="O17">
        <v>2.0799124247400171</v>
      </c>
      <c r="P17">
        <v>2.0218579234972616</v>
      </c>
      <c r="Q17">
        <v>1.9639934533551524</v>
      </c>
      <c r="R17">
        <v>2.0708446866485075</v>
      </c>
      <c r="S17">
        <v>2.1786492374727668</v>
      </c>
      <c r="T17">
        <v>2.2294725394235964</v>
      </c>
      <c r="U17">
        <v>2.1703743895822027</v>
      </c>
      <c r="V17">
        <v>2.0021645021644958</v>
      </c>
    </row>
    <row r="18" spans="1:22">
      <c r="A18" s="1" t="s">
        <v>17</v>
      </c>
      <c r="B18" s="1">
        <f>SUM(B16:B17)</f>
        <v>6.5299999999999997E-2</v>
      </c>
      <c r="C18" s="1">
        <v>3.8251366120218582</v>
      </c>
      <c r="D18" s="1">
        <v>3.5364526659412401</v>
      </c>
      <c r="E18" s="1">
        <v>3.30623306233062</v>
      </c>
      <c r="F18" s="1">
        <v>3.1874662344678582</v>
      </c>
      <c r="G18" s="1">
        <v>3.0156165858912352</v>
      </c>
      <c r="H18" s="1">
        <v>3.0612244897959275</v>
      </c>
      <c r="I18" s="1">
        <v>2.9443254817987148</v>
      </c>
      <c r="J18" s="1">
        <v>2.9364655632674852</v>
      </c>
      <c r="K18" s="1">
        <v>2.9302077783697391</v>
      </c>
      <c r="L18" s="1">
        <v>3.0834662413609841</v>
      </c>
      <c r="M18" s="1">
        <v>2.9661016949152512</v>
      </c>
      <c r="N18" s="1">
        <v>2.9598308668076232</v>
      </c>
      <c r="O18" s="1">
        <v>2.6842105263157867</v>
      </c>
      <c r="P18" s="1">
        <v>2.6842105263157867</v>
      </c>
      <c r="Q18" s="1">
        <v>2.6232948583420774</v>
      </c>
      <c r="R18" s="1">
        <v>2.6701570680628244</v>
      </c>
      <c r="S18" s="1">
        <v>2.6659696811291136</v>
      </c>
      <c r="T18" s="1">
        <v>2.5534132360604511</v>
      </c>
      <c r="U18" s="1">
        <v>2.496099843993751</v>
      </c>
      <c r="V18" s="1">
        <v>2.3340248962655603</v>
      </c>
    </row>
    <row r="19" spans="1:22">
      <c r="A19" s="1" t="s">
        <v>18</v>
      </c>
      <c r="B19" s="1">
        <f>10.07/100</f>
        <v>0.1007</v>
      </c>
      <c r="C19" s="1">
        <v>3.1958163858221962</v>
      </c>
      <c r="D19" s="1">
        <v>2.8818443804034581</v>
      </c>
      <c r="E19" s="1">
        <v>2.7089337175792441</v>
      </c>
      <c r="F19" s="1">
        <v>2.6826484018264938</v>
      </c>
      <c r="G19" s="1">
        <v>2.5626423690205016</v>
      </c>
      <c r="H19" s="1">
        <v>2.6949541284403606</v>
      </c>
      <c r="I19" s="1">
        <v>2.681118083285789</v>
      </c>
      <c r="J19" s="1">
        <v>2.6643990929705148</v>
      </c>
      <c r="K19" s="1">
        <v>2.7241770715096547</v>
      </c>
      <c r="L19" s="1">
        <v>2.8137310073157007</v>
      </c>
      <c r="M19" s="1">
        <v>2.8667790893760503</v>
      </c>
      <c r="N19" s="1">
        <v>2.7133973996608156</v>
      </c>
      <c r="O19" s="1">
        <v>2.8153153153153152</v>
      </c>
      <c r="P19" s="1">
        <v>2.9131652661064362</v>
      </c>
      <c r="Q19" s="1">
        <v>3.0303030303030338</v>
      </c>
      <c r="R19" s="1">
        <v>3.0572540300166757</v>
      </c>
      <c r="S19" s="1">
        <v>3.1649083842309924</v>
      </c>
      <c r="T19" s="1">
        <v>3.1825795644891222</v>
      </c>
      <c r="U19" s="1">
        <v>3.1666666666666607</v>
      </c>
      <c r="V19" s="1">
        <v>3.0922142462727744</v>
      </c>
    </row>
    <row r="20" spans="1:22">
      <c r="A20" s="1" t="s">
        <v>19</v>
      </c>
      <c r="B20" s="1">
        <f>6.84/100</f>
        <v>6.8400000000000002E-2</v>
      </c>
      <c r="C20" s="1">
        <v>-0.60439560439560125</v>
      </c>
      <c r="D20" s="1">
        <v>-0.76880834706205692</v>
      </c>
      <c r="E20" s="1">
        <v>-3.3534909290819099</v>
      </c>
      <c r="F20" s="1">
        <v>-4.017611447440828</v>
      </c>
      <c r="G20" s="1">
        <v>-3.6652078774617158</v>
      </c>
      <c r="H20" s="1">
        <v>-3.6085292509568037</v>
      </c>
      <c r="I20" s="1">
        <v>-5.477980665950585</v>
      </c>
      <c r="J20" s="1">
        <v>-5.2546916890080491</v>
      </c>
      <c r="K20" s="1">
        <v>-1.3385387618516482</v>
      </c>
      <c r="L20" s="1">
        <v>-1.6685205784204671</v>
      </c>
      <c r="M20" s="1">
        <v>-1.8343524180100119</v>
      </c>
      <c r="N20" s="1">
        <v>-1.3318534961154147</v>
      </c>
      <c r="O20" s="1">
        <v>-1.4925373134328452</v>
      </c>
      <c r="P20" s="1">
        <v>-1.3281682346430421</v>
      </c>
      <c r="Q20" s="1">
        <v>1.422070534698521</v>
      </c>
      <c r="R20" s="1">
        <v>2.9243119266055011</v>
      </c>
      <c r="S20" s="1">
        <v>2.8392958546280522</v>
      </c>
      <c r="T20" s="1">
        <v>2.5524673851389674</v>
      </c>
      <c r="U20" s="1">
        <v>2.6704545454545392</v>
      </c>
      <c r="V20" s="1">
        <v>2.4335031126202669</v>
      </c>
    </row>
    <row r="21" spans="1:22">
      <c r="A21" t="s">
        <v>20</v>
      </c>
      <c r="B21" s="7">
        <v>3.7999999999999999E-2</v>
      </c>
      <c r="C21">
        <v>3.0653556969346343</v>
      </c>
      <c r="D21">
        <v>2.8209556706966068</v>
      </c>
      <c r="E21">
        <v>2.6980482204362901</v>
      </c>
      <c r="F21">
        <v>2.749140893470797</v>
      </c>
      <c r="G21">
        <v>2.5114155251141588</v>
      </c>
      <c r="H21">
        <v>2.3904382470119621</v>
      </c>
      <c r="I21">
        <v>2.3282226007949998</v>
      </c>
      <c r="J21">
        <v>2.4348810872027244</v>
      </c>
      <c r="K21">
        <v>2.5452488687782804</v>
      </c>
      <c r="L21">
        <v>2.6538678712591852</v>
      </c>
      <c r="M21">
        <v>2.818489289740699</v>
      </c>
      <c r="N21">
        <v>2.8105677346824058</v>
      </c>
      <c r="O21">
        <v>2.8619528619528749</v>
      </c>
      <c r="P21">
        <v>2.7995520716685331</v>
      </c>
      <c r="Q21">
        <v>2.6830631637786375</v>
      </c>
      <c r="R21">
        <v>2.508361204013378</v>
      </c>
      <c r="S21">
        <v>2.5055679287305126</v>
      </c>
      <c r="T21">
        <v>2.5569760978321256</v>
      </c>
      <c r="U21">
        <v>2.6082130965593882</v>
      </c>
      <c r="V21">
        <v>2.5428413488114949</v>
      </c>
    </row>
    <row r="22" spans="1:22">
      <c r="A22" t="s">
        <v>21</v>
      </c>
      <c r="B22" s="7">
        <v>5.8900000000000001E-2</v>
      </c>
      <c r="C22">
        <v>4.8820625342841346</v>
      </c>
      <c r="D22">
        <v>4.5256270447110047</v>
      </c>
      <c r="E22">
        <v>4.2841648590021721</v>
      </c>
      <c r="F22">
        <v>4.2702702702702728</v>
      </c>
      <c r="G22">
        <v>4.2003231017770659</v>
      </c>
      <c r="H22">
        <v>4.1331186258722425</v>
      </c>
      <c r="I22">
        <v>4.06417112299465</v>
      </c>
      <c r="J22">
        <v>4.1022908897176444</v>
      </c>
      <c r="K22">
        <v>4.0892193308550127</v>
      </c>
      <c r="L22">
        <v>3.9640591966173364</v>
      </c>
      <c r="M22">
        <v>4.0063257775435019</v>
      </c>
      <c r="N22">
        <v>4.0462427745664682</v>
      </c>
      <c r="O22">
        <v>3.974895397489552</v>
      </c>
      <c r="P22">
        <v>4.121022430881589</v>
      </c>
      <c r="Q22">
        <v>4.264170566822667</v>
      </c>
      <c r="R22">
        <v>4.2509072058061115</v>
      </c>
      <c r="S22">
        <v>4.3410852713178318</v>
      </c>
      <c r="T22">
        <v>4.3814432989690717</v>
      </c>
      <c r="U22">
        <v>4.573484069886951</v>
      </c>
      <c r="V22">
        <v>4.4012282497441113</v>
      </c>
    </row>
    <row r="23" spans="1:22">
      <c r="A23" t="s">
        <v>22</v>
      </c>
      <c r="B23" s="7">
        <v>8.5900000000000004E-2</v>
      </c>
      <c r="C23">
        <v>1.9559902200489101</v>
      </c>
      <c r="D23">
        <v>1.8292682926829267</v>
      </c>
      <c r="E23">
        <v>1.5225334957369063</v>
      </c>
      <c r="F23">
        <v>1.0942249240121649</v>
      </c>
      <c r="G23">
        <v>0.97087378640776345</v>
      </c>
      <c r="H23">
        <v>0.96910963052694987</v>
      </c>
      <c r="I23">
        <v>2.5966183574879298</v>
      </c>
      <c r="J23">
        <v>2.7124773960216997</v>
      </c>
      <c r="K23">
        <v>2.7108433734939759</v>
      </c>
      <c r="L23">
        <v>2.7694160144491238</v>
      </c>
      <c r="M23">
        <v>2.7043269230769229</v>
      </c>
      <c r="N23">
        <v>2.6410564225690312</v>
      </c>
      <c r="O23">
        <v>2.7577937649880058</v>
      </c>
      <c r="P23">
        <v>2.9341317365269495</v>
      </c>
      <c r="Q23">
        <v>3.3593281343731394</v>
      </c>
      <c r="R23">
        <v>3.6680697534576026</v>
      </c>
      <c r="S23">
        <v>3.8461538461538494</v>
      </c>
      <c r="T23">
        <v>3.8992201559688064</v>
      </c>
      <c r="U23">
        <v>2.1188934667451407</v>
      </c>
      <c r="V23">
        <v>1.936619718309849</v>
      </c>
    </row>
    <row r="24" spans="1:22">
      <c r="A24" t="s">
        <v>23</v>
      </c>
      <c r="B24" s="7">
        <v>1.6799999999999999E-2</v>
      </c>
      <c r="C24">
        <v>2.8908554572271421</v>
      </c>
      <c r="D24">
        <v>2.7058823529411731</v>
      </c>
      <c r="E24">
        <v>2.7598355842630586</v>
      </c>
      <c r="F24">
        <v>2.6362038664323375</v>
      </c>
      <c r="G24">
        <v>2.5700934579439285</v>
      </c>
      <c r="H24">
        <v>2.3282887077997669</v>
      </c>
      <c r="I24">
        <v>2.2028985507246444</v>
      </c>
      <c r="J24">
        <v>2.3713128976286835</v>
      </c>
      <c r="K24">
        <v>2.3658395845354843</v>
      </c>
      <c r="L24">
        <v>2.4179620034542415</v>
      </c>
      <c r="M24">
        <v>2.6467203682393521</v>
      </c>
      <c r="N24">
        <v>2.6995979322228703</v>
      </c>
      <c r="O24">
        <v>2.6949541284403606</v>
      </c>
      <c r="P24">
        <v>2.6918671248568256</v>
      </c>
      <c r="Q24">
        <v>2.4571428571428635</v>
      </c>
      <c r="R24">
        <v>2.5114155251141588</v>
      </c>
      <c r="S24">
        <v>2.4487471526195965</v>
      </c>
      <c r="T24">
        <v>2.5028441410693838</v>
      </c>
      <c r="U24">
        <v>2.3823028927963632</v>
      </c>
      <c r="V24">
        <v>2.2033898305084776</v>
      </c>
    </row>
    <row r="25" spans="1:22">
      <c r="A25" t="s">
        <v>24</v>
      </c>
      <c r="B25" s="7">
        <v>4.4600000000000001E-2</v>
      </c>
      <c r="C25">
        <v>4.934021801491677</v>
      </c>
      <c r="D25">
        <v>4.7510017172295429</v>
      </c>
      <c r="E25">
        <v>4.6857142857142788</v>
      </c>
      <c r="F25">
        <v>4.1950113378684835</v>
      </c>
      <c r="G25">
        <v>4.0654997176736405</v>
      </c>
      <c r="H25">
        <v>3.5734226689000592</v>
      </c>
      <c r="I25">
        <v>3.537866224433392</v>
      </c>
      <c r="J25">
        <v>3.8525041276829946</v>
      </c>
      <c r="K25">
        <v>3.7870472008781597</v>
      </c>
      <c r="L25">
        <v>3.8968166849615931</v>
      </c>
      <c r="M25">
        <v>3.8925438596491198</v>
      </c>
      <c r="N25">
        <v>3.9452054794520484</v>
      </c>
      <c r="O25">
        <v>3.8272279934390379</v>
      </c>
      <c r="P25">
        <v>3.8251366120218582</v>
      </c>
      <c r="Q25">
        <v>3.9847161572052467</v>
      </c>
      <c r="R25">
        <v>4.1349292709466781</v>
      </c>
      <c r="S25">
        <v>4.1237113402061816</v>
      </c>
      <c r="T25">
        <v>4.3665768194070056</v>
      </c>
      <c r="U25">
        <v>4.1110517885744731</v>
      </c>
      <c r="V25">
        <v>3.6036036036036099</v>
      </c>
    </row>
    <row r="26" spans="1:22">
      <c r="A26" t="s">
        <v>25</v>
      </c>
      <c r="B26" s="7">
        <v>3.8899999999999997E-2</v>
      </c>
      <c r="C26">
        <v>10</v>
      </c>
      <c r="D26">
        <v>5.2251250694830489</v>
      </c>
      <c r="E26">
        <v>6.0220994475138152</v>
      </c>
      <c r="F26">
        <v>7.4456521739130377</v>
      </c>
      <c r="G26">
        <v>7.6673866090712837</v>
      </c>
      <c r="H26">
        <v>8.2295614510016346</v>
      </c>
      <c r="I26">
        <v>8.4415584415584366</v>
      </c>
      <c r="J26">
        <v>7.9956780118854738</v>
      </c>
      <c r="K26">
        <v>9.0026954177897505</v>
      </c>
      <c r="L26">
        <v>10.991379310344831</v>
      </c>
      <c r="M26">
        <v>10.416666666666668</v>
      </c>
      <c r="N26">
        <v>9.7560975609756131</v>
      </c>
      <c r="O26">
        <v>10.629296668429401</v>
      </c>
      <c r="P26">
        <v>13.629160063391431</v>
      </c>
      <c r="Q26">
        <v>13.496612819176656</v>
      </c>
      <c r="R26">
        <v>12.9489124936773</v>
      </c>
      <c r="S26">
        <v>13.54062186559679</v>
      </c>
      <c r="T26">
        <v>14.807403701850921</v>
      </c>
      <c r="U26">
        <v>15.119760479041908</v>
      </c>
      <c r="V26">
        <v>16.60830415207603</v>
      </c>
    </row>
    <row r="27" spans="1:22">
      <c r="A27" s="1" t="s">
        <v>26</v>
      </c>
      <c r="B27" s="8">
        <f>SUM(B21:B26)</f>
        <v>0.28310000000000002</v>
      </c>
      <c r="C27" s="1">
        <v>3.8194444444444406</v>
      </c>
      <c r="D27" s="1">
        <v>3.6311239193083642</v>
      </c>
      <c r="E27" s="1">
        <v>3.5037334865020071</v>
      </c>
      <c r="F27" s="1">
        <v>3.5428571428571365</v>
      </c>
      <c r="G27" s="1">
        <v>3.414911781445646</v>
      </c>
      <c r="H27" s="1">
        <v>3.4052213393870598</v>
      </c>
      <c r="I27" s="1">
        <v>3.8439796495194924</v>
      </c>
      <c r="J27" s="1">
        <v>3.8895152198421679</v>
      </c>
      <c r="K27" s="1">
        <v>4.049493813273334</v>
      </c>
      <c r="L27" s="1">
        <v>4.3234138124649171</v>
      </c>
      <c r="M27" s="1">
        <v>4.2553191489361675</v>
      </c>
      <c r="N27" s="1">
        <v>4.1899441340782122</v>
      </c>
      <c r="O27" s="1">
        <v>4.3478260869565117</v>
      </c>
      <c r="P27" s="1">
        <v>4.8387096774193488</v>
      </c>
      <c r="Q27" s="1">
        <v>4.9944506104328523</v>
      </c>
      <c r="R27" s="1">
        <v>5.022075055187651</v>
      </c>
      <c r="S27" s="1">
        <v>5.1733626857457384</v>
      </c>
      <c r="T27" s="1">
        <v>5.4884742041712409</v>
      </c>
      <c r="U27" s="1">
        <v>5.0081654872074131</v>
      </c>
      <c r="V27" s="1">
        <v>5.0461204557786123</v>
      </c>
    </row>
    <row r="29" spans="1:22">
      <c r="B29">
        <f>SUM(B14,B15,B18:B20,B27)</f>
        <v>1</v>
      </c>
    </row>
    <row r="30" spans="1:22">
      <c r="A30" t="s">
        <v>28</v>
      </c>
      <c r="C30">
        <v>5.0999999999999996</v>
      </c>
      <c r="D30">
        <v>5.09</v>
      </c>
      <c r="E30">
        <v>4.8499999999999996</v>
      </c>
      <c r="F30">
        <v>4.83</v>
      </c>
      <c r="G30">
        <v>4.8</v>
      </c>
      <c r="H30">
        <v>5.08</v>
      </c>
      <c r="I30">
        <v>3.6</v>
      </c>
      <c r="J30">
        <v>3.65</v>
      </c>
      <c r="K30">
        <v>5.49</v>
      </c>
      <c r="L30">
        <v>6.21</v>
      </c>
      <c r="M30">
        <v>5.48</v>
      </c>
      <c r="N30">
        <v>5.22</v>
      </c>
      <c r="O30">
        <v>4.26</v>
      </c>
      <c r="P30">
        <v>3.61</v>
      </c>
      <c r="Q30">
        <v>3.34</v>
      </c>
      <c r="R30">
        <v>3.16</v>
      </c>
      <c r="S30">
        <v>2.82</v>
      </c>
      <c r="T30">
        <v>2.1</v>
      </c>
      <c r="U30">
        <v>1.61</v>
      </c>
      <c r="V30">
        <v>2.0699999999999998</v>
      </c>
    </row>
    <row r="31" spans="1:22">
      <c r="C31" t="str">
        <f>IF(C30&gt;=3,"High",IF(C30&gt;=1,"Moderate","Low"))</f>
        <v>High</v>
      </c>
      <c r="D31" t="str">
        <f t="shared" ref="D31:V31" si="0">IF(D30&gt;=3,"High",IF(D30&gt;=1,"Moderate","Low"))</f>
        <v>High</v>
      </c>
      <c r="E31" t="str">
        <f t="shared" si="0"/>
        <v>High</v>
      </c>
      <c r="F31" t="str">
        <f t="shared" si="0"/>
        <v>High</v>
      </c>
      <c r="G31" t="str">
        <f t="shared" si="0"/>
        <v>High</v>
      </c>
      <c r="H31" t="str">
        <f t="shared" si="0"/>
        <v>High</v>
      </c>
      <c r="I31" t="str">
        <f t="shared" si="0"/>
        <v>High</v>
      </c>
      <c r="J31" t="str">
        <f t="shared" si="0"/>
        <v>High</v>
      </c>
      <c r="K31" t="str">
        <f t="shared" si="0"/>
        <v>High</v>
      </c>
      <c r="L31" t="str">
        <f t="shared" si="0"/>
        <v>High</v>
      </c>
      <c r="M31" t="str">
        <f t="shared" si="0"/>
        <v>High</v>
      </c>
      <c r="N31" t="str">
        <f t="shared" si="0"/>
        <v>High</v>
      </c>
      <c r="O31" t="str">
        <f t="shared" si="0"/>
        <v>High</v>
      </c>
      <c r="P31" t="str">
        <f t="shared" si="0"/>
        <v>High</v>
      </c>
      <c r="Q31" t="str">
        <f t="shared" si="0"/>
        <v>High</v>
      </c>
      <c r="R31" t="str">
        <f t="shared" si="0"/>
        <v>High</v>
      </c>
      <c r="S31" t="str">
        <f t="shared" si="0"/>
        <v>Moderate</v>
      </c>
      <c r="T31" t="str">
        <f t="shared" si="0"/>
        <v>Moderate</v>
      </c>
      <c r="U31" t="str">
        <f t="shared" si="0"/>
        <v>Moderate</v>
      </c>
      <c r="V31" t="str">
        <f t="shared" si="0"/>
        <v>Moderate</v>
      </c>
    </row>
    <row r="32" spans="1:22"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7" spans="2:2">
      <c r="B37" s="1"/>
    </row>
    <row r="38" spans="2:2">
      <c r="B38" s="1"/>
    </row>
    <row r="39" spans="2:2">
      <c r="B39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6C09E-3CDA-4390-B376-420BB845E7FE}">
  <dimension ref="A1:X21"/>
  <sheetViews>
    <sheetView workbookViewId="0">
      <selection activeCell="B11" sqref="B11"/>
    </sheetView>
  </sheetViews>
  <sheetFormatPr defaultRowHeight="14.5"/>
  <cols>
    <col min="1" max="1" width="23.1796875" customWidth="1"/>
    <col min="2" max="2" width="18.54296875" bestFit="1" customWidth="1"/>
    <col min="3" max="3" width="12.26953125" bestFit="1" customWidth="1"/>
    <col min="4" max="4" width="12.6328125" customWidth="1"/>
    <col min="5" max="5" width="15.90625" bestFit="1" customWidth="1"/>
    <col min="6" max="6" width="11.08984375" bestFit="1" customWidth="1"/>
    <col min="7" max="7" width="5.453125" bestFit="1" customWidth="1"/>
    <col min="8" max="8" width="9.81640625" bestFit="1" customWidth="1"/>
    <col min="9" max="9" width="17.6328125" bestFit="1" customWidth="1"/>
    <col min="10" max="10" width="21.1796875" bestFit="1" customWidth="1"/>
    <col min="11" max="11" width="5.90625" bestFit="1" customWidth="1"/>
    <col min="12" max="12" width="21.36328125" bestFit="1" customWidth="1"/>
    <col min="13" max="13" width="30.7265625" bestFit="1" customWidth="1"/>
    <col min="14" max="14" width="25.26953125" bestFit="1" customWidth="1"/>
    <col min="15" max="15" width="7.6328125" bestFit="1" customWidth="1"/>
    <col min="17" max="17" width="7.54296875" bestFit="1" customWidth="1"/>
    <col min="18" max="18" width="12" bestFit="1" customWidth="1"/>
    <col min="19" max="19" width="26.26953125" bestFit="1" customWidth="1"/>
    <col min="20" max="20" width="6.26953125" bestFit="1" customWidth="1"/>
    <col min="21" max="21" width="26.36328125" bestFit="1" customWidth="1"/>
    <col min="22" max="22" width="24" bestFit="1" customWidth="1"/>
    <col min="23" max="23" width="9.08984375" bestFit="1" customWidth="1"/>
    <col min="24" max="24" width="21.90625" bestFit="1" customWidth="1"/>
  </cols>
  <sheetData>
    <row r="1" spans="1:24">
      <c r="A1" t="s">
        <v>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14</v>
      </c>
      <c r="O1" t="s">
        <v>15</v>
      </c>
      <c r="P1" t="s">
        <v>16</v>
      </c>
      <c r="Q1" s="1" t="s">
        <v>18</v>
      </c>
      <c r="R1" s="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</row>
    <row r="2" spans="1:24">
      <c r="A2" s="2">
        <v>45292</v>
      </c>
      <c r="B2">
        <v>7.8250863060989602</v>
      </c>
      <c r="C2">
        <v>1.1865211200759376</v>
      </c>
      <c r="D2">
        <v>5.5526992287917798</v>
      </c>
      <c r="E2">
        <v>4.6391752577319556</v>
      </c>
      <c r="F2">
        <v>-14.957264957264957</v>
      </c>
      <c r="G2">
        <v>8.5912823752368883</v>
      </c>
      <c r="H2">
        <v>27.095516569200772</v>
      </c>
      <c r="I2">
        <v>19.543592744294912</v>
      </c>
      <c r="J2">
        <v>7.4318744838976061</v>
      </c>
      <c r="K2">
        <v>16.314779270633398</v>
      </c>
      <c r="L2">
        <v>3.3255542590431668</v>
      </c>
      <c r="M2">
        <v>3.97</v>
      </c>
      <c r="N2">
        <v>3.2795156407669022</v>
      </c>
      <c r="O2">
        <v>3.4613304488912955</v>
      </c>
      <c r="P2">
        <v>2.8716216216216188</v>
      </c>
      <c r="Q2">
        <v>3.1958163858221962</v>
      </c>
      <c r="R2">
        <v>-0.60439560439560125</v>
      </c>
      <c r="S2">
        <v>3.0653556969346343</v>
      </c>
      <c r="T2">
        <v>4.8820625342841346</v>
      </c>
      <c r="U2">
        <v>1.9559902200489101</v>
      </c>
      <c r="V2">
        <v>2.8908554572271421</v>
      </c>
      <c r="W2">
        <v>4.934021801491677</v>
      </c>
      <c r="X2">
        <v>10</v>
      </c>
    </row>
    <row r="3" spans="1:24">
      <c r="A3" s="2">
        <v>45323</v>
      </c>
      <c r="B3">
        <v>7.6527698458024025</v>
      </c>
      <c r="C3">
        <v>5.1616015436565306</v>
      </c>
      <c r="D3">
        <v>10.692853246044731</v>
      </c>
      <c r="E3">
        <v>3.8592508513053416</v>
      </c>
      <c r="F3">
        <v>-13.967391304347821</v>
      </c>
      <c r="G3">
        <v>4.8318042813455691</v>
      </c>
      <c r="H3">
        <v>30.246502331778817</v>
      </c>
      <c r="I3">
        <v>18.896713615023465</v>
      </c>
      <c r="J3">
        <v>7.4750830564784039</v>
      </c>
      <c r="K3">
        <v>13.508353221957044</v>
      </c>
      <c r="L3">
        <v>3.025014543339144</v>
      </c>
      <c r="M3">
        <v>3.7460978147762836</v>
      </c>
      <c r="N3">
        <v>3.1155778894472306</v>
      </c>
      <c r="O3">
        <v>3.178879310344831</v>
      </c>
      <c r="P3">
        <v>2.6360067302299428</v>
      </c>
      <c r="Q3">
        <v>2.8818443804034581</v>
      </c>
      <c r="R3">
        <v>-0.76880834706205692</v>
      </c>
      <c r="S3">
        <v>2.8209556706966068</v>
      </c>
      <c r="T3">
        <v>4.5256270447110047</v>
      </c>
      <c r="U3">
        <v>1.8292682926829267</v>
      </c>
      <c r="V3">
        <v>2.7058823529411731</v>
      </c>
      <c r="W3">
        <v>4.7510017172295429</v>
      </c>
      <c r="X3">
        <v>5.2251250694830489</v>
      </c>
    </row>
    <row r="4" spans="1:24">
      <c r="A4" s="2">
        <v>45352</v>
      </c>
      <c r="B4">
        <v>8.3715596330275197</v>
      </c>
      <c r="C4">
        <v>6.4034665382763656</v>
      </c>
      <c r="D4">
        <v>10.331050228310517</v>
      </c>
      <c r="E4">
        <v>3.3840947546531304</v>
      </c>
      <c r="F4">
        <v>-11.718750000000002</v>
      </c>
      <c r="G4">
        <v>3.0088495575221206</v>
      </c>
      <c r="H4">
        <v>28.337696335078522</v>
      </c>
      <c r="I4">
        <v>17.767387492694333</v>
      </c>
      <c r="J4">
        <v>7.2499999999999911</v>
      </c>
      <c r="K4">
        <v>11.397234144015263</v>
      </c>
      <c r="L4">
        <v>2.8438769587927899</v>
      </c>
      <c r="M4">
        <v>3.5751295336787594</v>
      </c>
      <c r="N4">
        <v>3.1077694235588917</v>
      </c>
      <c r="O4">
        <v>3.1166039763568034</v>
      </c>
      <c r="P4">
        <v>2.5741466144376179</v>
      </c>
      <c r="Q4">
        <v>2.7089337175792441</v>
      </c>
      <c r="R4">
        <v>-3.3534909290819099</v>
      </c>
      <c r="S4">
        <v>2.6980482204362901</v>
      </c>
      <c r="T4">
        <v>4.2841648590021721</v>
      </c>
      <c r="U4">
        <v>1.5225334957369063</v>
      </c>
      <c r="V4">
        <v>2.7598355842630586</v>
      </c>
      <c r="W4">
        <v>4.6857142857142788</v>
      </c>
      <c r="X4">
        <v>6.0220994475138152</v>
      </c>
    </row>
    <row r="5" spans="1:24">
      <c r="A5" s="2">
        <v>45383</v>
      </c>
      <c r="B5">
        <v>8.6306098964326807</v>
      </c>
      <c r="C5">
        <v>8.2178690874342983</v>
      </c>
      <c r="D5">
        <v>7.1344339622641471</v>
      </c>
      <c r="E5">
        <v>2.9708520179372098</v>
      </c>
      <c r="F5">
        <v>-9.4339622641509422</v>
      </c>
      <c r="G5">
        <v>5.2183777651729937</v>
      </c>
      <c r="H5">
        <v>27.799227799227793</v>
      </c>
      <c r="I5">
        <v>16.839677047289499</v>
      </c>
      <c r="J5">
        <v>6.0181368507831801</v>
      </c>
      <c r="K5">
        <v>7.7501174260216059</v>
      </c>
      <c r="L5">
        <v>2.6026604973973395</v>
      </c>
      <c r="M5">
        <v>3.4625322997415964</v>
      </c>
      <c r="N5">
        <v>2.9910269192422732</v>
      </c>
      <c r="O5">
        <v>2.8892455858748023</v>
      </c>
      <c r="P5">
        <v>2.3995535714285778</v>
      </c>
      <c r="Q5">
        <v>2.6826484018264938</v>
      </c>
      <c r="R5">
        <v>-4.017611447440828</v>
      </c>
      <c r="S5">
        <v>2.749140893470797</v>
      </c>
      <c r="T5">
        <v>4.2702702702702728</v>
      </c>
      <c r="U5">
        <v>1.0942249240121649</v>
      </c>
      <c r="V5">
        <v>2.6362038664323375</v>
      </c>
      <c r="W5">
        <v>4.1950113378684835</v>
      </c>
      <c r="X5">
        <v>7.4456521739130377</v>
      </c>
    </row>
    <row r="6" spans="1:24">
      <c r="A6" s="2">
        <v>45413</v>
      </c>
      <c r="B6">
        <v>8.6931491076568932</v>
      </c>
      <c r="C6">
        <v>7.2795146990200621</v>
      </c>
      <c r="D6">
        <v>7.6789838337182514</v>
      </c>
      <c r="E6">
        <v>2.6183844011141999</v>
      </c>
      <c r="F6">
        <v>-6.7058823529411793</v>
      </c>
      <c r="G6">
        <v>6.6782810685249716</v>
      </c>
      <c r="H6">
        <v>27.391304347826086</v>
      </c>
      <c r="I6">
        <v>17.141230068337126</v>
      </c>
      <c r="J6">
        <v>5.7049714751426128</v>
      </c>
      <c r="K6">
        <v>4.2660550458715649</v>
      </c>
      <c r="L6">
        <v>2.4221453287197168</v>
      </c>
      <c r="M6">
        <v>3.3470648815653967</v>
      </c>
      <c r="N6">
        <v>3.0348258706467632</v>
      </c>
      <c r="O6">
        <v>2.8296849973304767</v>
      </c>
      <c r="P6">
        <v>2.1702838063439098</v>
      </c>
      <c r="Q6">
        <v>2.5626423690205016</v>
      </c>
      <c r="R6">
        <v>-3.6652078774617158</v>
      </c>
      <c r="S6">
        <v>2.5114155251141588</v>
      </c>
      <c r="T6">
        <v>4.2003231017770659</v>
      </c>
      <c r="U6">
        <v>0.97087378640776345</v>
      </c>
      <c r="V6">
        <v>2.5700934579439285</v>
      </c>
      <c r="W6">
        <v>4.0654997176736405</v>
      </c>
      <c r="X6">
        <v>7.6673866090712837</v>
      </c>
    </row>
    <row r="7" spans="1:24">
      <c r="A7" s="2">
        <v>45444</v>
      </c>
      <c r="B7">
        <v>8.7528604118993041</v>
      </c>
      <c r="C7">
        <v>5.3908355795148255</v>
      </c>
      <c r="D7">
        <v>4.102844638949672</v>
      </c>
      <c r="E7">
        <v>3.0000000000000031</v>
      </c>
      <c r="F7">
        <v>-2.6763990267639937</v>
      </c>
      <c r="G7">
        <v>7.1511627906976809</v>
      </c>
      <c r="H7">
        <v>29.320817228050799</v>
      </c>
      <c r="I7">
        <v>16.070445789763358</v>
      </c>
      <c r="J7">
        <v>5.8299595141700316</v>
      </c>
      <c r="K7">
        <v>2.0618556701030903</v>
      </c>
      <c r="L7">
        <v>2.3563218390804566</v>
      </c>
      <c r="M7">
        <v>3.4394250513346964</v>
      </c>
      <c r="N7">
        <v>3.0769230769230713</v>
      </c>
      <c r="O7">
        <v>2.7659574468085046</v>
      </c>
      <c r="P7">
        <v>2.0532741398446266</v>
      </c>
      <c r="Q7">
        <v>2.6949541284403606</v>
      </c>
      <c r="R7">
        <v>-3.6085292509568037</v>
      </c>
      <c r="S7">
        <v>2.3904382470119621</v>
      </c>
      <c r="T7">
        <v>4.1331186258722425</v>
      </c>
      <c r="U7">
        <v>0.96910963052694987</v>
      </c>
      <c r="V7">
        <v>2.3282887077997669</v>
      </c>
      <c r="W7">
        <v>3.5734226689000592</v>
      </c>
      <c r="X7">
        <v>8.2295614510016346</v>
      </c>
    </row>
    <row r="8" spans="1:24">
      <c r="A8" s="2">
        <v>45474</v>
      </c>
      <c r="B8">
        <v>8.1401921989824793</v>
      </c>
      <c r="C8">
        <v>5.9228650137740937</v>
      </c>
      <c r="D8">
        <v>6.8169323804288098</v>
      </c>
      <c r="E8">
        <v>3.0470914127423825</v>
      </c>
      <c r="F8">
        <v>-1.1049723756906147</v>
      </c>
      <c r="G8">
        <v>3.8418708240534554</v>
      </c>
      <c r="H8">
        <v>6.8345323741007284</v>
      </c>
      <c r="I8">
        <v>14.769065520945221</v>
      </c>
      <c r="J8">
        <v>5.2208835341365463</v>
      </c>
      <c r="K8">
        <v>-1.427335640138401</v>
      </c>
      <c r="L8">
        <v>2.2349570200573101</v>
      </c>
      <c r="M8">
        <v>3.4818228366615376</v>
      </c>
      <c r="N8">
        <v>3.018307768431467</v>
      </c>
      <c r="O8">
        <v>2.7600849256900153</v>
      </c>
      <c r="P8">
        <v>1.9922523519645949</v>
      </c>
      <c r="Q8">
        <v>2.681118083285789</v>
      </c>
      <c r="R8">
        <v>-5.477980665950585</v>
      </c>
      <c r="S8">
        <v>2.3282226007949998</v>
      </c>
      <c r="T8">
        <v>4.06417112299465</v>
      </c>
      <c r="U8">
        <v>2.5966183574879298</v>
      </c>
      <c r="V8">
        <v>2.2028985507246444</v>
      </c>
      <c r="W8">
        <v>3.537866224433392</v>
      </c>
      <c r="X8">
        <v>8.4415584415584366</v>
      </c>
    </row>
    <row r="9" spans="1:24">
      <c r="A9" s="2">
        <v>45505</v>
      </c>
      <c r="B9">
        <v>7.3061907417735608</v>
      </c>
      <c r="C9">
        <v>4.2970574497898264</v>
      </c>
      <c r="D9">
        <v>7.0821529745042495</v>
      </c>
      <c r="E9">
        <v>2.9249448123620376</v>
      </c>
      <c r="F9">
        <v>-0.85942295887047626</v>
      </c>
      <c r="G9">
        <v>6.4516129032258034</v>
      </c>
      <c r="H9">
        <v>10.747663551401862</v>
      </c>
      <c r="I9">
        <v>13.597883597883593</v>
      </c>
      <c r="J9">
        <v>4.7011952191235107</v>
      </c>
      <c r="K9">
        <v>-4.3605870020964383</v>
      </c>
      <c r="L9">
        <v>2.3999999999999932</v>
      </c>
      <c r="M9">
        <v>3.4658511722731968</v>
      </c>
      <c r="N9">
        <v>2.7093596059113301</v>
      </c>
      <c r="O9">
        <v>2.752779248279507</v>
      </c>
      <c r="P9">
        <v>2.0994475138121609</v>
      </c>
      <c r="Q9">
        <v>2.6643990929705148</v>
      </c>
      <c r="R9">
        <v>-5.2546916890080491</v>
      </c>
      <c r="S9">
        <v>2.4348810872027244</v>
      </c>
      <c r="T9">
        <v>4.1022908897176444</v>
      </c>
      <c r="U9">
        <v>2.7124773960216997</v>
      </c>
      <c r="V9">
        <v>2.3713128976286835</v>
      </c>
      <c r="W9">
        <v>3.8525041276829946</v>
      </c>
      <c r="X9">
        <v>7.9956780118854738</v>
      </c>
    </row>
    <row r="10" spans="1:24">
      <c r="A10" s="2">
        <v>45536</v>
      </c>
      <c r="B10">
        <v>6.8357221609702341</v>
      </c>
      <c r="C10">
        <v>2.6182820395039124</v>
      </c>
      <c r="D10">
        <v>6.3641394576646375</v>
      </c>
      <c r="E10">
        <v>3.0303030303030303</v>
      </c>
      <c r="F10">
        <v>2.5277435265104948</v>
      </c>
      <c r="G10">
        <v>7.6490438695163077</v>
      </c>
      <c r="H10">
        <v>36.03830645161289</v>
      </c>
      <c r="I10">
        <v>9.8118962887646219</v>
      </c>
      <c r="J10">
        <v>3.4591194968553389</v>
      </c>
      <c r="K10">
        <v>-6.1342116097159343</v>
      </c>
      <c r="L10">
        <v>2.565564424173318</v>
      </c>
      <c r="M10">
        <v>3.5587188612099649</v>
      </c>
      <c r="N10">
        <v>2.5061425061425036</v>
      </c>
      <c r="O10">
        <v>2.7997886951928064</v>
      </c>
      <c r="P10">
        <v>1.984564498346193</v>
      </c>
      <c r="Q10">
        <v>2.7241770715096547</v>
      </c>
      <c r="R10">
        <v>-1.3385387618516482</v>
      </c>
      <c r="S10">
        <v>2.5452488687782804</v>
      </c>
      <c r="T10">
        <v>4.0892193308550127</v>
      </c>
      <c r="U10">
        <v>2.7108433734939759</v>
      </c>
      <c r="V10">
        <v>2.3658395845354843</v>
      </c>
      <c r="W10">
        <v>3.7870472008781597</v>
      </c>
      <c r="X10">
        <v>9.0026954177897505</v>
      </c>
    </row>
    <row r="11" spans="1:24">
      <c r="A11" s="2">
        <v>45566</v>
      </c>
      <c r="B11">
        <v>6.9436850738108191</v>
      </c>
      <c r="C11">
        <v>3.1680440771349758</v>
      </c>
      <c r="D11">
        <v>4.9250535331905718</v>
      </c>
      <c r="E11">
        <v>2.9686641011544834</v>
      </c>
      <c r="F11">
        <v>9.571162212554384</v>
      </c>
      <c r="G11">
        <v>8.4310441094360655</v>
      </c>
      <c r="H11">
        <v>42.230881636629313</v>
      </c>
      <c r="I11">
        <v>7.3835480673934475</v>
      </c>
      <c r="J11">
        <v>2.5660964230171159</v>
      </c>
      <c r="K11">
        <v>-7.0118222584590368</v>
      </c>
      <c r="L11">
        <v>2.6719727117680434</v>
      </c>
      <c r="M11">
        <v>3.7018255578093364</v>
      </c>
      <c r="N11">
        <v>2.5012260912211839</v>
      </c>
      <c r="O11">
        <v>2.7894736842105323</v>
      </c>
      <c r="P11">
        <v>2.1475770925110163</v>
      </c>
      <c r="Q11">
        <v>2.8137310073157007</v>
      </c>
      <c r="R11">
        <v>-1.6685205784204671</v>
      </c>
      <c r="S11">
        <v>2.6538678712591852</v>
      </c>
      <c r="T11">
        <v>3.9640591966173364</v>
      </c>
      <c r="U11">
        <v>2.7694160144491238</v>
      </c>
      <c r="V11">
        <v>2.4179620034542415</v>
      </c>
      <c r="W11">
        <v>3.8968166849615931</v>
      </c>
      <c r="X11">
        <v>10.991379310344831</v>
      </c>
    </row>
    <row r="12" spans="1:24">
      <c r="A12" s="2">
        <v>45597</v>
      </c>
      <c r="B12">
        <v>6.8797399783315365</v>
      </c>
      <c r="C12">
        <v>4.6728971962616823</v>
      </c>
      <c r="D12">
        <v>4.8412285268089601</v>
      </c>
      <c r="E12">
        <v>2.8540065861690547</v>
      </c>
      <c r="F12">
        <v>13.2793017456359</v>
      </c>
      <c r="G12">
        <v>7.6793721973094105</v>
      </c>
      <c r="H12">
        <v>29.373549883990723</v>
      </c>
      <c r="I12">
        <v>5.4119941491955119</v>
      </c>
      <c r="J12">
        <v>1.3066871637202282</v>
      </c>
      <c r="K12">
        <v>-7.4269480519480569</v>
      </c>
      <c r="L12">
        <v>2.7195467422096384</v>
      </c>
      <c r="M12">
        <v>3.9493670886076004</v>
      </c>
      <c r="N12">
        <v>2.3483365949119288</v>
      </c>
      <c r="O12">
        <v>2.7821522309711346</v>
      </c>
      <c r="P12">
        <v>2.197802197802198</v>
      </c>
      <c r="Q12">
        <v>2.8667790893760503</v>
      </c>
      <c r="R12">
        <v>-1.8343524180100119</v>
      </c>
      <c r="S12">
        <v>2.818489289740699</v>
      </c>
      <c r="T12">
        <v>4.0063257775435019</v>
      </c>
      <c r="U12">
        <v>2.7043269230769229</v>
      </c>
      <c r="V12">
        <v>2.6467203682393521</v>
      </c>
      <c r="W12">
        <v>3.8925438596491198</v>
      </c>
      <c r="X12">
        <v>10.416666666666668</v>
      </c>
    </row>
    <row r="13" spans="1:24">
      <c r="A13" s="2">
        <v>45627</v>
      </c>
      <c r="B13">
        <v>6.5053763440860184</v>
      </c>
      <c r="C13">
        <v>5.3005205868433451</v>
      </c>
      <c r="D13">
        <v>6.8513853904282094</v>
      </c>
      <c r="E13">
        <v>2.7960526315789442</v>
      </c>
      <c r="F13">
        <v>14.597629444791002</v>
      </c>
      <c r="G13">
        <v>8.6039886039886007</v>
      </c>
      <c r="H13">
        <v>26.555609995100447</v>
      </c>
      <c r="I13">
        <v>3.8312318137730386</v>
      </c>
      <c r="J13">
        <v>0.22970903522206076</v>
      </c>
      <c r="K13">
        <v>-7.4104234527687245</v>
      </c>
      <c r="L13">
        <v>2.9994340690435837</v>
      </c>
      <c r="M13">
        <v>4.0383644623927308</v>
      </c>
      <c r="N13">
        <v>2.4938875305623442</v>
      </c>
      <c r="O13">
        <v>2.8287061288632822</v>
      </c>
      <c r="P13">
        <v>2.0833333333333237</v>
      </c>
      <c r="Q13">
        <v>2.7133973996608156</v>
      </c>
      <c r="R13">
        <v>-1.3318534961154147</v>
      </c>
      <c r="S13">
        <v>2.8105677346824058</v>
      </c>
      <c r="T13">
        <v>4.0462427745664682</v>
      </c>
      <c r="U13">
        <v>2.6410564225690312</v>
      </c>
      <c r="V13">
        <v>2.6995979322228703</v>
      </c>
      <c r="W13">
        <v>3.9452054794520484</v>
      </c>
      <c r="X13">
        <v>9.7560975609756131</v>
      </c>
    </row>
    <row r="14" spans="1:24">
      <c r="A14" s="2">
        <v>45658</v>
      </c>
      <c r="B14">
        <v>6.243329775880464</v>
      </c>
      <c r="C14">
        <v>5.2532833020637977</v>
      </c>
      <c r="D14">
        <v>1.2664393570384773</v>
      </c>
      <c r="E14">
        <v>2.8461959496442351</v>
      </c>
      <c r="F14">
        <v>15.640703517587944</v>
      </c>
      <c r="G14">
        <v>12.158231529959282</v>
      </c>
      <c r="H14">
        <v>11.349693251533752</v>
      </c>
      <c r="I14">
        <v>2.5452765540871209</v>
      </c>
      <c r="J14">
        <v>0.3074558032282903</v>
      </c>
      <c r="K14">
        <v>-6.8481848184818448</v>
      </c>
      <c r="L14">
        <v>3.3879164313946921</v>
      </c>
      <c r="M14">
        <v>4.0744466800804799</v>
      </c>
      <c r="N14">
        <v>2.296042989741093</v>
      </c>
      <c r="O14">
        <v>2.7182435964453679</v>
      </c>
      <c r="P14">
        <v>2.0799124247400171</v>
      </c>
      <c r="Q14">
        <v>2.8153153153153152</v>
      </c>
      <c r="R14">
        <v>-1.4925373134328452</v>
      </c>
      <c r="S14">
        <v>2.8619528619528749</v>
      </c>
      <c r="T14">
        <v>3.974895397489552</v>
      </c>
      <c r="U14">
        <v>2.7577937649880058</v>
      </c>
      <c r="V14">
        <v>2.6949541284403606</v>
      </c>
      <c r="W14">
        <v>3.8272279934390379</v>
      </c>
      <c r="X14">
        <v>10.629296668429401</v>
      </c>
    </row>
    <row r="15" spans="1:24">
      <c r="A15" s="2">
        <v>45689</v>
      </c>
      <c r="B15">
        <v>6.1007957559681696</v>
      </c>
      <c r="C15">
        <v>2.1100917431192636</v>
      </c>
      <c r="D15">
        <v>-2.9571217348447512</v>
      </c>
      <c r="E15">
        <v>2.677595628415304</v>
      </c>
      <c r="F15">
        <v>16.361339229311419</v>
      </c>
      <c r="G15">
        <v>14.819136522753794</v>
      </c>
      <c r="H15">
        <v>-1.1253196930946234</v>
      </c>
      <c r="I15">
        <v>-0.34550839091805957</v>
      </c>
      <c r="J15">
        <v>2.1638330757341442</v>
      </c>
      <c r="K15">
        <v>-5.8452481076534921</v>
      </c>
      <c r="L15">
        <v>3.7267080745341583</v>
      </c>
      <c r="M15">
        <v>4.2126379137412258</v>
      </c>
      <c r="N15">
        <v>2.4366471734892792</v>
      </c>
      <c r="O15">
        <v>2.7676240208877343</v>
      </c>
      <c r="P15">
        <v>2.0218579234972616</v>
      </c>
      <c r="Q15">
        <v>2.9131652661064362</v>
      </c>
      <c r="R15">
        <v>-1.3281682346430421</v>
      </c>
      <c r="S15">
        <v>2.7995520716685331</v>
      </c>
      <c r="T15">
        <v>4.121022430881589</v>
      </c>
      <c r="U15">
        <v>2.9341317365269495</v>
      </c>
      <c r="V15">
        <v>2.6918671248568256</v>
      </c>
      <c r="W15">
        <v>3.8251366120218582</v>
      </c>
      <c r="X15">
        <v>13.629160063391431</v>
      </c>
    </row>
    <row r="16" spans="1:24">
      <c r="A16" s="2">
        <v>45717</v>
      </c>
      <c r="B16">
        <v>5.9259259259259203</v>
      </c>
      <c r="C16">
        <v>0.31674208144795862</v>
      </c>
      <c r="D16">
        <v>-3.1039834454216244</v>
      </c>
      <c r="E16">
        <v>2.6186579378068644</v>
      </c>
      <c r="F16">
        <v>17.06700379266751</v>
      </c>
      <c r="G16">
        <v>16.265750286368846</v>
      </c>
      <c r="H16">
        <v>-7.0372259051504251</v>
      </c>
      <c r="I16">
        <v>-2.7295285359801489</v>
      </c>
      <c r="J16">
        <v>3.8850038850038855</v>
      </c>
      <c r="K16">
        <v>-4.9229452054794525</v>
      </c>
      <c r="L16">
        <v>4.0632054176072332</v>
      </c>
      <c r="M16">
        <v>4.3021510755377665</v>
      </c>
      <c r="N16">
        <v>2.4793388429752179</v>
      </c>
      <c r="O16">
        <v>2.7097446586763878</v>
      </c>
      <c r="P16">
        <v>1.9639934533551524</v>
      </c>
      <c r="Q16">
        <v>3.0303030303030338</v>
      </c>
      <c r="R16">
        <v>1.422070534698521</v>
      </c>
      <c r="S16">
        <v>2.6830631637786375</v>
      </c>
      <c r="T16">
        <v>4.264170566822667</v>
      </c>
      <c r="U16">
        <v>3.3593281343731394</v>
      </c>
      <c r="V16">
        <v>2.4571428571428635</v>
      </c>
      <c r="W16">
        <v>3.9847161572052467</v>
      </c>
      <c r="X16">
        <v>13.496612819176656</v>
      </c>
    </row>
    <row r="17" spans="1:24">
      <c r="A17" s="2">
        <v>45748</v>
      </c>
      <c r="B17">
        <v>5.3495762711864376</v>
      </c>
      <c r="C17">
        <v>-0.35320088300221253</v>
      </c>
      <c r="D17">
        <v>0.82553659878921293</v>
      </c>
      <c r="E17">
        <v>2.7218290691344587</v>
      </c>
      <c r="F17">
        <v>17.424242424242419</v>
      </c>
      <c r="G17">
        <v>13.908355795148253</v>
      </c>
      <c r="H17">
        <v>-10.97683786505538</v>
      </c>
      <c r="I17">
        <v>-5.231984205330698</v>
      </c>
      <c r="J17">
        <v>4.5878693623639233</v>
      </c>
      <c r="K17">
        <v>-3.443766346992156</v>
      </c>
      <c r="L17">
        <v>4.3968432919954807</v>
      </c>
      <c r="M17">
        <v>4.445554445554448</v>
      </c>
      <c r="N17">
        <v>2.0813165537270142</v>
      </c>
      <c r="O17">
        <v>2.7041081643265672</v>
      </c>
      <c r="P17">
        <v>2.0708446866485075</v>
      </c>
      <c r="Q17">
        <v>3.0572540300166757</v>
      </c>
      <c r="R17">
        <v>2.9243119266055011</v>
      </c>
      <c r="S17">
        <v>2.508361204013378</v>
      </c>
      <c r="T17">
        <v>4.2509072058061115</v>
      </c>
      <c r="U17">
        <v>3.6680697534576026</v>
      </c>
      <c r="V17">
        <v>2.5114155251141588</v>
      </c>
      <c r="W17">
        <v>4.1349292709466781</v>
      </c>
      <c r="X17">
        <v>12.9489124936773</v>
      </c>
    </row>
    <row r="18" spans="1:24">
      <c r="A18" s="2">
        <v>45778</v>
      </c>
      <c r="B18">
        <v>4.7669491525423728</v>
      </c>
      <c r="C18">
        <v>-0.43497172683775559</v>
      </c>
      <c r="D18">
        <v>0.64343163538873382</v>
      </c>
      <c r="E18">
        <v>3.1487513572204189</v>
      </c>
      <c r="F18">
        <v>17.906683480453978</v>
      </c>
      <c r="G18">
        <v>12.738160043549268</v>
      </c>
      <c r="H18">
        <v>-13.700633837152607</v>
      </c>
      <c r="I18">
        <v>-8.2158483228001842</v>
      </c>
      <c r="J18">
        <v>4.1634541249036285</v>
      </c>
      <c r="K18">
        <v>-2.7716673999120154</v>
      </c>
      <c r="L18">
        <v>4.5608108108108079</v>
      </c>
      <c r="M18">
        <v>4.384653712007978</v>
      </c>
      <c r="N18">
        <v>2.4142926122646067</v>
      </c>
      <c r="O18">
        <v>2.7518172377985524</v>
      </c>
      <c r="P18">
        <v>2.1786492374727668</v>
      </c>
      <c r="Q18">
        <v>3.1649083842309924</v>
      </c>
      <c r="R18">
        <v>2.8392958546280522</v>
      </c>
      <c r="S18">
        <v>2.5055679287305126</v>
      </c>
      <c r="T18">
        <v>4.3410852713178318</v>
      </c>
      <c r="U18">
        <v>3.8461538461538494</v>
      </c>
      <c r="V18">
        <v>2.4487471526195965</v>
      </c>
      <c r="W18">
        <v>4.1237113402061816</v>
      </c>
      <c r="X18">
        <v>13.54062186559679</v>
      </c>
    </row>
    <row r="19" spans="1:24">
      <c r="A19" s="2">
        <v>45809</v>
      </c>
      <c r="B19">
        <v>3.7348763808521803</v>
      </c>
      <c r="C19">
        <v>-1.6197783461210498</v>
      </c>
      <c r="D19">
        <v>2.5748817656331986</v>
      </c>
      <c r="E19">
        <v>2.8047464940668765</v>
      </c>
      <c r="F19">
        <v>17.750000000000004</v>
      </c>
      <c r="G19">
        <v>12.642430819316322</v>
      </c>
      <c r="H19">
        <v>-18.915456874466262</v>
      </c>
      <c r="I19">
        <v>-11.759127548601239</v>
      </c>
      <c r="J19">
        <v>3.5195103289977223</v>
      </c>
      <c r="K19">
        <v>-3.0303030303030205</v>
      </c>
      <c r="L19">
        <v>4.3234138124649171</v>
      </c>
      <c r="M19">
        <v>4.3176178660049569</v>
      </c>
      <c r="N19">
        <v>2.407318247472316</v>
      </c>
      <c r="O19">
        <v>2.639751552795043</v>
      </c>
      <c r="P19">
        <v>2.2294725394235964</v>
      </c>
      <c r="Q19">
        <v>3.1825795644891222</v>
      </c>
      <c r="R19">
        <v>2.5524673851389674</v>
      </c>
      <c r="S19">
        <v>2.5569760978321256</v>
      </c>
      <c r="T19">
        <v>4.3814432989690717</v>
      </c>
      <c r="U19">
        <v>3.8992201559688064</v>
      </c>
      <c r="V19">
        <v>2.5028441410693838</v>
      </c>
      <c r="W19">
        <v>4.3665768194070056</v>
      </c>
      <c r="X19">
        <v>14.807403701850921</v>
      </c>
    </row>
    <row r="20" spans="1:24">
      <c r="A20" s="2">
        <v>45839</v>
      </c>
      <c r="B20">
        <v>3.0318870883429079</v>
      </c>
      <c r="C20">
        <v>-0.60684872128304179</v>
      </c>
      <c r="D20">
        <v>2.2130725681935064</v>
      </c>
      <c r="E20">
        <v>2.6881720430107525</v>
      </c>
      <c r="F20">
        <v>19.242706393544385</v>
      </c>
      <c r="G20">
        <v>14.47721179624665</v>
      </c>
      <c r="H20">
        <v>-20.650953984287323</v>
      </c>
      <c r="I20">
        <v>-13.757604117922313</v>
      </c>
      <c r="J20">
        <v>3.2824427480916114</v>
      </c>
      <c r="K20">
        <v>-3.1154014918824022</v>
      </c>
      <c r="L20">
        <v>4.5964125560538047</v>
      </c>
      <c r="M20">
        <v>4.4037605145967369</v>
      </c>
      <c r="N20">
        <v>2.4495677233429505</v>
      </c>
      <c r="O20">
        <v>2.5826446280991737</v>
      </c>
      <c r="P20">
        <v>2.1703743895822027</v>
      </c>
      <c r="Q20">
        <v>3.1666666666666607</v>
      </c>
      <c r="R20">
        <v>2.6704545454545392</v>
      </c>
      <c r="S20">
        <v>2.6082130965593882</v>
      </c>
      <c r="T20">
        <v>4.573484069886951</v>
      </c>
      <c r="U20">
        <v>2.1188934667451407</v>
      </c>
      <c r="V20">
        <v>2.3823028927963632</v>
      </c>
      <c r="W20">
        <v>4.1110517885744731</v>
      </c>
      <c r="X20">
        <v>15.119760479041908</v>
      </c>
    </row>
    <row r="21" spans="1:24">
      <c r="A21" s="2">
        <v>45870</v>
      </c>
      <c r="B21">
        <v>2.7027027027026964</v>
      </c>
      <c r="C21">
        <v>1.4778325123152631</v>
      </c>
      <c r="D21">
        <v>3.1216931216931245</v>
      </c>
      <c r="E21">
        <v>2.6273458445040245</v>
      </c>
      <c r="F21">
        <v>21.238390092879264</v>
      </c>
      <c r="G21">
        <v>11.650992685475435</v>
      </c>
      <c r="H21">
        <v>-15.918680475642502</v>
      </c>
      <c r="I21">
        <v>-14.53190498369818</v>
      </c>
      <c r="J21">
        <v>3.7290715372907193</v>
      </c>
      <c r="K21">
        <v>-3.2441911442349869</v>
      </c>
      <c r="L21">
        <v>4.2968750000000098</v>
      </c>
      <c r="M21">
        <v>4.1871921182266005</v>
      </c>
      <c r="N21">
        <v>2.4940047961630638</v>
      </c>
      <c r="O21">
        <v>2.4214322514168045</v>
      </c>
      <c r="P21">
        <v>2.0021645021644958</v>
      </c>
      <c r="Q21">
        <v>3.0922142462727744</v>
      </c>
      <c r="R21">
        <v>2.4335031126202669</v>
      </c>
      <c r="S21">
        <v>2.5428413488114949</v>
      </c>
      <c r="T21">
        <v>4.4012282497441113</v>
      </c>
      <c r="U21">
        <v>1.936619718309849</v>
      </c>
      <c r="V21">
        <v>2.2033898305084776</v>
      </c>
      <c r="W21">
        <v>3.6036036036036099</v>
      </c>
      <c r="X21">
        <v>16.60830415207603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31FCE-F415-4A93-A667-24EDAE13EF38}">
  <sheetPr codeName="Sheet2"/>
  <dimension ref="A1:AI23"/>
  <sheetViews>
    <sheetView topLeftCell="U1" zoomScale="59" zoomScaleNormal="85" workbookViewId="0">
      <selection activeCell="AH2" sqref="AH2"/>
    </sheetView>
  </sheetViews>
  <sheetFormatPr defaultRowHeight="14.5"/>
  <cols>
    <col min="1" max="1" width="18.36328125" customWidth="1"/>
    <col min="2" max="2" width="18.54296875" bestFit="1" customWidth="1"/>
    <col min="3" max="3" width="12.26953125" bestFit="1" customWidth="1"/>
    <col min="4" max="4" width="14" customWidth="1"/>
    <col min="5" max="5" width="15.90625" bestFit="1" customWidth="1"/>
    <col min="6" max="6" width="11.08984375" bestFit="1" customWidth="1"/>
    <col min="7" max="7" width="5.453125" bestFit="1" customWidth="1"/>
    <col min="8" max="8" width="9.81640625" bestFit="1" customWidth="1"/>
    <col min="9" max="9" width="17.6328125" bestFit="1" customWidth="1"/>
    <col min="10" max="10" width="21.1796875" bestFit="1" customWidth="1"/>
    <col min="11" max="11" width="5.90625" bestFit="1" customWidth="1"/>
    <col min="12" max="12" width="21.36328125" bestFit="1" customWidth="1"/>
    <col min="13" max="13" width="30.7265625" bestFit="1" customWidth="1"/>
    <col min="14" max="14" width="17.7265625" bestFit="1" customWidth="1"/>
    <col min="15" max="15" width="17.7265625" customWidth="1"/>
    <col min="16" max="16" width="25.26953125" bestFit="1" customWidth="1"/>
    <col min="17" max="17" width="25.26953125" customWidth="1"/>
    <col min="18" max="18" width="7.6328125" bestFit="1" customWidth="1"/>
    <col min="20" max="20" width="19.7265625" bestFit="1" customWidth="1"/>
    <col min="21" max="21" width="19.7265625" customWidth="1"/>
    <col min="22" max="22" width="7.54296875" bestFit="1" customWidth="1"/>
    <col min="23" max="23" width="7.54296875" customWidth="1"/>
    <col min="24" max="24" width="12" bestFit="1" customWidth="1"/>
    <col min="25" max="25" width="12" customWidth="1"/>
    <col min="26" max="26" width="26.26953125" bestFit="1" customWidth="1"/>
    <col min="27" max="27" width="6.26953125" bestFit="1" customWidth="1"/>
    <col min="28" max="28" width="26.36328125" bestFit="1" customWidth="1"/>
    <col min="29" max="29" width="24" bestFit="1" customWidth="1"/>
    <col min="30" max="30" width="9.08984375" bestFit="1" customWidth="1"/>
    <col min="31" max="31" width="21.90625" bestFit="1" customWidth="1"/>
    <col min="32" max="32" width="12.6328125" bestFit="1" customWidth="1"/>
    <col min="35" max="35" width="12.36328125" customWidth="1"/>
  </cols>
  <sheetData>
    <row r="1" spans="1:35">
      <c r="A1" t="s">
        <v>50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  <c r="O1" s="1"/>
      <c r="P1" s="1" t="s">
        <v>14</v>
      </c>
      <c r="Q1" s="1"/>
      <c r="R1" t="s">
        <v>15</v>
      </c>
      <c r="S1" t="s">
        <v>16</v>
      </c>
      <c r="T1" s="1" t="s">
        <v>17</v>
      </c>
      <c r="U1" s="1"/>
      <c r="V1" s="1" t="s">
        <v>18</v>
      </c>
      <c r="W1" s="1"/>
      <c r="X1" s="1" t="s">
        <v>19</v>
      </c>
      <c r="Y1" s="1"/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s="1" t="s">
        <v>26</v>
      </c>
      <c r="AH1" s="1" t="s">
        <v>51</v>
      </c>
    </row>
    <row r="2" spans="1:35">
      <c r="A2" s="2">
        <v>45292</v>
      </c>
      <c r="B2">
        <v>7.8250863060989602</v>
      </c>
      <c r="C2">
        <v>1.1865211200759376</v>
      </c>
      <c r="D2">
        <v>5.5526992287917798</v>
      </c>
      <c r="E2">
        <v>4.6391752577319556</v>
      </c>
      <c r="F2">
        <v>-14.957264957264957</v>
      </c>
      <c r="G2">
        <v>8.5912823752368883</v>
      </c>
      <c r="H2">
        <v>27.095516569200772</v>
      </c>
      <c r="I2">
        <v>19.543592744294912</v>
      </c>
      <c r="J2">
        <v>7.4318744838976061</v>
      </c>
      <c r="K2">
        <v>16.314779270633398</v>
      </c>
      <c r="L2">
        <v>3.3255542590431668</v>
      </c>
      <c r="M2">
        <v>3.97</v>
      </c>
      <c r="N2">
        <v>7.5834748160724423</v>
      </c>
      <c r="O2" t="str">
        <f t="shared" ref="O2:O21" si="0">IF(N2&gt;=3,"High",IF(N2&gt;=1,"Moderate","Low"))</f>
        <v>High</v>
      </c>
      <c r="P2">
        <v>3.2795156407669022</v>
      </c>
      <c r="Q2" t="str">
        <f t="shared" ref="Q2:Q21" si="1">IF(P2&gt;=3,"High",IF(P2&gt;=1,"Moderate","Low"))</f>
        <v>High</v>
      </c>
      <c r="R2">
        <v>3.4613304488912955</v>
      </c>
      <c r="S2">
        <v>2.8716216216216188</v>
      </c>
      <c r="T2">
        <v>3.8251366120218582</v>
      </c>
      <c r="V2">
        <v>3.1958163858221962</v>
      </c>
      <c r="W2" t="str">
        <f t="shared" ref="W2:W21" si="2">IF(V2&gt;=3,"High",IF(V2&gt;=1,"Moderate","Low"))</f>
        <v>High</v>
      </c>
      <c r="X2">
        <v>-0.60439560439560125</v>
      </c>
      <c r="Y2" t="str">
        <f t="shared" ref="Y2:Y21" si="3">IF(X2&gt;=3,"High",IF(X2&gt;=1,"Moderate","Low"))</f>
        <v>Low</v>
      </c>
      <c r="Z2">
        <v>3.0653556969346343</v>
      </c>
      <c r="AA2">
        <v>4.8820625342841346</v>
      </c>
      <c r="AB2">
        <v>1.9559902200489101</v>
      </c>
      <c r="AC2">
        <v>2.8908554572271421</v>
      </c>
      <c r="AD2">
        <v>4.934021801491677</v>
      </c>
      <c r="AE2">
        <v>10</v>
      </c>
      <c r="AF2">
        <v>3.8194444444444406</v>
      </c>
      <c r="AG2" t="str">
        <f t="shared" ref="AG2:AG21" si="4">IF(AF2&gt;=3,"High",IF(AF2&gt;=1,"Moderate","Low"))</f>
        <v>High</v>
      </c>
      <c r="AH2">
        <v>5.0999999999999996</v>
      </c>
      <c r="AI2" t="str">
        <f t="shared" ref="AI2:AI21" si="5">IF(AH2&gt;=3,"High",IF(AH2&gt;=1,"Moderate","Low"))</f>
        <v>High</v>
      </c>
    </row>
    <row r="3" spans="1:35">
      <c r="A3" s="2">
        <v>45323</v>
      </c>
      <c r="B3">
        <v>7.6527698458024025</v>
      </c>
      <c r="C3">
        <v>5.1616015436565306</v>
      </c>
      <c r="D3">
        <v>10.692853246044731</v>
      </c>
      <c r="E3">
        <v>3.8592508513053416</v>
      </c>
      <c r="F3">
        <v>-13.967391304347821</v>
      </c>
      <c r="G3">
        <v>4.8318042813455691</v>
      </c>
      <c r="H3">
        <v>30.246502331778817</v>
      </c>
      <c r="I3">
        <v>18.896713615023465</v>
      </c>
      <c r="J3">
        <v>7.4750830564784039</v>
      </c>
      <c r="K3">
        <v>13.508353221957044</v>
      </c>
      <c r="L3">
        <v>3.025014543339144</v>
      </c>
      <c r="M3">
        <v>3.7460978147762836</v>
      </c>
      <c r="N3">
        <v>7.7576443941109945</v>
      </c>
      <c r="O3" t="str">
        <f t="shared" si="0"/>
        <v>High</v>
      </c>
      <c r="P3">
        <v>3.1155778894472306</v>
      </c>
      <c r="Q3" t="str">
        <f t="shared" si="1"/>
        <v>High</v>
      </c>
      <c r="R3">
        <v>3.178879310344831</v>
      </c>
      <c r="S3">
        <v>2.6360067302299428</v>
      </c>
      <c r="T3">
        <v>3.5364526659412401</v>
      </c>
      <c r="U3" t="str">
        <f t="shared" ref="U3:U21" si="6">IF(T3&gt;=3,"High",IF(T3&gt;=1,"Moderate","Low"))</f>
        <v>High</v>
      </c>
      <c r="V3">
        <v>2.8818443804034581</v>
      </c>
      <c r="W3" t="str">
        <f t="shared" si="2"/>
        <v>Moderate</v>
      </c>
      <c r="X3">
        <v>-0.76880834706205692</v>
      </c>
      <c r="Y3" t="str">
        <f t="shared" si="3"/>
        <v>Low</v>
      </c>
      <c r="Z3">
        <v>2.8209556706966068</v>
      </c>
      <c r="AA3">
        <v>4.5256270447110047</v>
      </c>
      <c r="AB3">
        <v>1.8292682926829267</v>
      </c>
      <c r="AC3">
        <v>2.7058823529411731</v>
      </c>
      <c r="AD3">
        <v>4.7510017172295429</v>
      </c>
      <c r="AE3">
        <v>5.2251250694830489</v>
      </c>
      <c r="AF3">
        <v>3.6311239193083642</v>
      </c>
      <c r="AG3" t="str">
        <f t="shared" si="4"/>
        <v>High</v>
      </c>
      <c r="AH3">
        <v>5.09</v>
      </c>
      <c r="AI3" t="str">
        <f t="shared" si="5"/>
        <v>High</v>
      </c>
    </row>
    <row r="4" spans="1:35">
      <c r="A4" s="2">
        <v>45352</v>
      </c>
      <c r="B4">
        <v>8.3715596330275197</v>
      </c>
      <c r="C4">
        <v>6.4034665382763656</v>
      </c>
      <c r="D4">
        <v>10.331050228310517</v>
      </c>
      <c r="E4">
        <v>3.3840947546531304</v>
      </c>
      <c r="F4">
        <v>-11.718750000000002</v>
      </c>
      <c r="G4">
        <v>3.0088495575221206</v>
      </c>
      <c r="H4">
        <v>28.337696335078522</v>
      </c>
      <c r="I4">
        <v>17.767387492694333</v>
      </c>
      <c r="J4">
        <v>7.2499999999999911</v>
      </c>
      <c r="K4">
        <v>11.397234144015263</v>
      </c>
      <c r="L4">
        <v>2.8438769587927899</v>
      </c>
      <c r="M4">
        <v>3.5751295336787594</v>
      </c>
      <c r="N4">
        <v>7.7401129943502758</v>
      </c>
      <c r="O4" t="str">
        <f t="shared" si="0"/>
        <v>High</v>
      </c>
      <c r="P4">
        <v>3.1077694235588917</v>
      </c>
      <c r="Q4" t="str">
        <f t="shared" si="1"/>
        <v>High</v>
      </c>
      <c r="R4">
        <v>3.1166039763568034</v>
      </c>
      <c r="S4">
        <v>2.5741466144376179</v>
      </c>
      <c r="T4">
        <v>3.30623306233062</v>
      </c>
      <c r="U4" t="str">
        <f t="shared" si="6"/>
        <v>High</v>
      </c>
      <c r="V4">
        <v>2.7089337175792441</v>
      </c>
      <c r="W4" t="str">
        <f t="shared" si="2"/>
        <v>Moderate</v>
      </c>
      <c r="X4">
        <v>-3.3534909290819099</v>
      </c>
      <c r="Y4" t="str">
        <f t="shared" si="3"/>
        <v>Low</v>
      </c>
      <c r="Z4">
        <v>2.6980482204362901</v>
      </c>
      <c r="AA4">
        <v>4.2841648590021721</v>
      </c>
      <c r="AB4">
        <v>1.5225334957369063</v>
      </c>
      <c r="AC4">
        <v>2.7598355842630586</v>
      </c>
      <c r="AD4">
        <v>4.6857142857142788</v>
      </c>
      <c r="AE4">
        <v>6.0220994475138152</v>
      </c>
      <c r="AF4">
        <v>3.5037334865020071</v>
      </c>
      <c r="AG4" t="str">
        <f t="shared" si="4"/>
        <v>High</v>
      </c>
      <c r="AH4">
        <v>4.8499999999999996</v>
      </c>
      <c r="AI4" t="str">
        <f t="shared" si="5"/>
        <v>High</v>
      </c>
    </row>
    <row r="5" spans="1:35">
      <c r="A5" s="2">
        <v>45383</v>
      </c>
      <c r="B5">
        <v>8.6306098964326807</v>
      </c>
      <c r="C5">
        <v>8.2178690874342983</v>
      </c>
      <c r="D5">
        <v>7.1344339622641471</v>
      </c>
      <c r="E5">
        <v>2.9708520179372098</v>
      </c>
      <c r="F5">
        <v>-9.4339622641509422</v>
      </c>
      <c r="G5">
        <v>5.2183777651729937</v>
      </c>
      <c r="H5">
        <v>27.799227799227793</v>
      </c>
      <c r="I5">
        <v>16.839677047289499</v>
      </c>
      <c r="J5">
        <v>6.0181368507831801</v>
      </c>
      <c r="K5">
        <v>7.7501174260216059</v>
      </c>
      <c r="L5">
        <v>2.6026604973973395</v>
      </c>
      <c r="M5">
        <v>3.4625322997415964</v>
      </c>
      <c r="N5">
        <v>7.869589657110736</v>
      </c>
      <c r="O5" t="str">
        <f t="shared" si="0"/>
        <v>High</v>
      </c>
      <c r="P5">
        <v>2.9910269192422732</v>
      </c>
      <c r="Q5" t="str">
        <f t="shared" si="1"/>
        <v>Moderate</v>
      </c>
      <c r="R5">
        <v>2.8892455858748023</v>
      </c>
      <c r="S5">
        <v>2.3995535714285778</v>
      </c>
      <c r="T5">
        <v>3.1874662344678582</v>
      </c>
      <c r="U5" t="str">
        <f t="shared" si="6"/>
        <v>High</v>
      </c>
      <c r="V5">
        <v>2.6826484018264938</v>
      </c>
      <c r="W5" t="str">
        <f t="shared" si="2"/>
        <v>Moderate</v>
      </c>
      <c r="X5">
        <v>-4.017611447440828</v>
      </c>
      <c r="Y5" t="str">
        <f t="shared" si="3"/>
        <v>Low</v>
      </c>
      <c r="Z5">
        <v>2.749140893470797</v>
      </c>
      <c r="AA5">
        <v>4.2702702702702728</v>
      </c>
      <c r="AB5">
        <v>1.0942249240121649</v>
      </c>
      <c r="AC5">
        <v>2.6362038664323375</v>
      </c>
      <c r="AD5">
        <v>4.1950113378684835</v>
      </c>
      <c r="AE5">
        <v>7.4456521739130377</v>
      </c>
      <c r="AF5">
        <v>3.5428571428571365</v>
      </c>
      <c r="AG5" t="str">
        <f t="shared" si="4"/>
        <v>High</v>
      </c>
      <c r="AH5">
        <v>4.83</v>
      </c>
      <c r="AI5" t="str">
        <f t="shared" si="5"/>
        <v>High</v>
      </c>
    </row>
    <row r="6" spans="1:35">
      <c r="A6" s="2">
        <v>45413</v>
      </c>
      <c r="B6">
        <v>8.6931491076568932</v>
      </c>
      <c r="C6">
        <v>7.2795146990200621</v>
      </c>
      <c r="D6">
        <v>7.6789838337182514</v>
      </c>
      <c r="E6">
        <v>2.6183844011141999</v>
      </c>
      <c r="F6">
        <v>-6.7058823529411793</v>
      </c>
      <c r="G6">
        <v>6.6782810685249716</v>
      </c>
      <c r="H6">
        <v>27.391304347826086</v>
      </c>
      <c r="I6">
        <v>17.141230068337126</v>
      </c>
      <c r="J6">
        <v>5.7049714751426128</v>
      </c>
      <c r="K6">
        <v>4.2660550458715649</v>
      </c>
      <c r="L6">
        <v>2.4221453287197168</v>
      </c>
      <c r="M6">
        <v>3.3470648815653967</v>
      </c>
      <c r="N6">
        <v>7.872696817420433</v>
      </c>
      <c r="O6" t="str">
        <f t="shared" si="0"/>
        <v>High</v>
      </c>
      <c r="P6">
        <v>3.0348258706467632</v>
      </c>
      <c r="Q6" t="str">
        <f t="shared" si="1"/>
        <v>High</v>
      </c>
      <c r="R6">
        <v>2.8296849973304767</v>
      </c>
      <c r="S6">
        <v>2.1702838063439098</v>
      </c>
      <c r="T6">
        <v>3.0156165858912352</v>
      </c>
      <c r="U6" t="str">
        <f t="shared" si="6"/>
        <v>High</v>
      </c>
      <c r="V6">
        <v>2.5626423690205016</v>
      </c>
      <c r="W6" t="str">
        <f t="shared" si="2"/>
        <v>Moderate</v>
      </c>
      <c r="X6">
        <v>-3.6652078774617158</v>
      </c>
      <c r="Y6" t="str">
        <f t="shared" si="3"/>
        <v>Low</v>
      </c>
      <c r="Z6">
        <v>2.5114155251141588</v>
      </c>
      <c r="AA6">
        <v>4.2003231017770659</v>
      </c>
      <c r="AB6">
        <v>0.97087378640776345</v>
      </c>
      <c r="AC6">
        <v>2.5700934579439285</v>
      </c>
      <c r="AD6">
        <v>4.0654997176736405</v>
      </c>
      <c r="AE6">
        <v>7.6673866090712837</v>
      </c>
      <c r="AF6">
        <v>3.414911781445646</v>
      </c>
      <c r="AG6" t="str">
        <f t="shared" si="4"/>
        <v>High</v>
      </c>
      <c r="AH6">
        <v>4.8</v>
      </c>
      <c r="AI6" t="str">
        <f t="shared" si="5"/>
        <v>High</v>
      </c>
    </row>
    <row r="7" spans="1:35">
      <c r="A7" s="2">
        <v>45444</v>
      </c>
      <c r="B7">
        <v>8.7528604118993041</v>
      </c>
      <c r="C7">
        <v>5.3908355795148255</v>
      </c>
      <c r="D7">
        <v>4.102844638949672</v>
      </c>
      <c r="E7">
        <v>3.0000000000000031</v>
      </c>
      <c r="F7">
        <v>-2.6763990267639937</v>
      </c>
      <c r="G7">
        <v>7.1511627906976809</v>
      </c>
      <c r="H7">
        <v>29.320817228050799</v>
      </c>
      <c r="I7">
        <v>16.070445789763358</v>
      </c>
      <c r="J7">
        <v>5.8299595141700316</v>
      </c>
      <c r="K7">
        <v>2.0618556701030903</v>
      </c>
      <c r="L7">
        <v>2.3563218390804566</v>
      </c>
      <c r="M7">
        <v>3.4394250513346964</v>
      </c>
      <c r="N7">
        <v>8.3560895685417869</v>
      </c>
      <c r="O7" t="str">
        <f t="shared" si="0"/>
        <v>High</v>
      </c>
      <c r="P7">
        <v>3.0769230769230713</v>
      </c>
      <c r="Q7" t="str">
        <f t="shared" si="1"/>
        <v>High</v>
      </c>
      <c r="R7">
        <v>2.7659574468085046</v>
      </c>
      <c r="S7">
        <v>2.0532741398446266</v>
      </c>
      <c r="T7">
        <v>3.0612244897959275</v>
      </c>
      <c r="U7" t="str">
        <f t="shared" si="6"/>
        <v>High</v>
      </c>
      <c r="V7">
        <v>2.6949541284403606</v>
      </c>
      <c r="W7" t="str">
        <f t="shared" si="2"/>
        <v>Moderate</v>
      </c>
      <c r="X7">
        <v>-3.6085292509568037</v>
      </c>
      <c r="Y7" t="str">
        <f t="shared" si="3"/>
        <v>Low</v>
      </c>
      <c r="Z7">
        <v>2.3904382470119621</v>
      </c>
      <c r="AA7">
        <v>4.1331186258722425</v>
      </c>
      <c r="AB7">
        <v>0.96910963052694987</v>
      </c>
      <c r="AC7">
        <v>2.3282887077997669</v>
      </c>
      <c r="AD7">
        <v>3.5734226689000592</v>
      </c>
      <c r="AE7">
        <v>8.2295614510016346</v>
      </c>
      <c r="AF7">
        <v>3.4052213393870598</v>
      </c>
      <c r="AG7" t="str">
        <f t="shared" si="4"/>
        <v>High</v>
      </c>
      <c r="AH7">
        <v>5.08</v>
      </c>
      <c r="AI7" t="str">
        <f t="shared" si="5"/>
        <v>High</v>
      </c>
    </row>
    <row r="8" spans="1:35">
      <c r="A8" s="2">
        <v>45474</v>
      </c>
      <c r="B8">
        <v>8.1401921989824793</v>
      </c>
      <c r="C8">
        <v>5.9228650137740937</v>
      </c>
      <c r="D8">
        <v>6.8169323804288098</v>
      </c>
      <c r="E8">
        <v>3.0470914127423825</v>
      </c>
      <c r="F8">
        <v>-1.1049723756906147</v>
      </c>
      <c r="G8">
        <v>3.8418708240534554</v>
      </c>
      <c r="H8">
        <v>6.8345323741007284</v>
      </c>
      <c r="I8">
        <v>14.769065520945221</v>
      </c>
      <c r="J8">
        <v>5.2208835341365463</v>
      </c>
      <c r="K8">
        <v>-1.427335640138401</v>
      </c>
      <c r="L8">
        <v>2.2349570200573101</v>
      </c>
      <c r="M8">
        <v>3.4818228366615376</v>
      </c>
      <c r="N8">
        <v>5.0645994832041401</v>
      </c>
      <c r="O8" t="str">
        <f t="shared" si="0"/>
        <v>High</v>
      </c>
      <c r="P8">
        <v>3.018307768431467</v>
      </c>
      <c r="Q8" t="str">
        <f t="shared" si="1"/>
        <v>High</v>
      </c>
      <c r="R8">
        <v>2.7600849256900153</v>
      </c>
      <c r="S8">
        <v>1.9922523519645949</v>
      </c>
      <c r="T8">
        <v>2.9443254817987148</v>
      </c>
      <c r="U8" t="str">
        <f t="shared" si="6"/>
        <v>Moderate</v>
      </c>
      <c r="V8">
        <v>2.681118083285789</v>
      </c>
      <c r="W8" t="str">
        <f t="shared" si="2"/>
        <v>Moderate</v>
      </c>
      <c r="X8">
        <v>-5.477980665950585</v>
      </c>
      <c r="Y8" t="str">
        <f t="shared" si="3"/>
        <v>Low</v>
      </c>
      <c r="Z8">
        <v>2.3282226007949998</v>
      </c>
      <c r="AA8">
        <v>4.06417112299465</v>
      </c>
      <c r="AB8">
        <v>2.5966183574879298</v>
      </c>
      <c r="AC8">
        <v>2.2028985507246444</v>
      </c>
      <c r="AD8">
        <v>3.537866224433392</v>
      </c>
      <c r="AE8">
        <v>8.4415584415584366</v>
      </c>
      <c r="AF8">
        <v>3.8439796495194924</v>
      </c>
      <c r="AG8" t="str">
        <f t="shared" si="4"/>
        <v>High</v>
      </c>
      <c r="AH8">
        <v>3.6</v>
      </c>
      <c r="AI8" t="str">
        <f t="shared" si="5"/>
        <v>High</v>
      </c>
    </row>
    <row r="9" spans="1:35">
      <c r="A9" s="2">
        <v>45505</v>
      </c>
      <c r="B9">
        <v>7.3061907417735608</v>
      </c>
      <c r="C9">
        <v>4.2970574497898264</v>
      </c>
      <c r="D9">
        <v>7.0821529745042495</v>
      </c>
      <c r="E9">
        <v>2.9249448123620376</v>
      </c>
      <c r="F9">
        <v>-0.85942295887047626</v>
      </c>
      <c r="G9">
        <v>6.4516129032258034</v>
      </c>
      <c r="H9">
        <v>10.747663551401862</v>
      </c>
      <c r="I9">
        <v>13.597883597883593</v>
      </c>
      <c r="J9">
        <v>4.7011952191235107</v>
      </c>
      <c r="K9">
        <v>-4.3605870020964383</v>
      </c>
      <c r="L9">
        <v>2.3999999999999932</v>
      </c>
      <c r="M9">
        <v>3.4658511722731968</v>
      </c>
      <c r="N9">
        <v>5.2987012987012934</v>
      </c>
      <c r="O9" t="str">
        <f t="shared" si="0"/>
        <v>High</v>
      </c>
      <c r="P9">
        <v>2.7093596059113301</v>
      </c>
      <c r="Q9" t="str">
        <f t="shared" si="1"/>
        <v>Moderate</v>
      </c>
      <c r="R9">
        <v>2.752779248279507</v>
      </c>
      <c r="S9">
        <v>2.0994475138121609</v>
      </c>
      <c r="T9">
        <v>2.9364655632674852</v>
      </c>
      <c r="U9" t="str">
        <f t="shared" si="6"/>
        <v>Moderate</v>
      </c>
      <c r="V9">
        <v>2.6643990929705148</v>
      </c>
      <c r="W9" t="str">
        <f t="shared" si="2"/>
        <v>Moderate</v>
      </c>
      <c r="X9">
        <v>-5.2546916890080491</v>
      </c>
      <c r="Y9" t="str">
        <f t="shared" si="3"/>
        <v>Low</v>
      </c>
      <c r="Z9">
        <v>2.4348810872027244</v>
      </c>
      <c r="AA9">
        <v>4.1022908897176444</v>
      </c>
      <c r="AB9">
        <v>2.7124773960216997</v>
      </c>
      <c r="AC9">
        <v>2.3713128976286835</v>
      </c>
      <c r="AD9">
        <v>3.8525041276829946</v>
      </c>
      <c r="AE9">
        <v>7.9956780118854738</v>
      </c>
      <c r="AF9">
        <v>3.8895152198421679</v>
      </c>
      <c r="AG9" t="str">
        <f t="shared" si="4"/>
        <v>High</v>
      </c>
      <c r="AH9">
        <v>3.65</v>
      </c>
      <c r="AI9" t="str">
        <f t="shared" si="5"/>
        <v>High</v>
      </c>
    </row>
    <row r="10" spans="1:35">
      <c r="A10" s="2">
        <v>45536</v>
      </c>
      <c r="B10">
        <v>6.8357221609702341</v>
      </c>
      <c r="C10">
        <v>2.6182820395039124</v>
      </c>
      <c r="D10">
        <v>6.3641394576646375</v>
      </c>
      <c r="E10">
        <v>3.0303030303030303</v>
      </c>
      <c r="F10">
        <v>2.5277435265104948</v>
      </c>
      <c r="G10">
        <v>7.6490438695163077</v>
      </c>
      <c r="H10">
        <v>36.03830645161289</v>
      </c>
      <c r="I10">
        <v>9.8118962887646219</v>
      </c>
      <c r="J10">
        <v>3.4591194968553389</v>
      </c>
      <c r="K10">
        <v>-6.1342116097159343</v>
      </c>
      <c r="L10">
        <v>2.565564424173318</v>
      </c>
      <c r="M10">
        <v>3.5587188612099649</v>
      </c>
      <c r="N10">
        <v>8.3597883597883662</v>
      </c>
      <c r="O10" t="str">
        <f t="shared" si="0"/>
        <v>High</v>
      </c>
      <c r="P10">
        <v>2.5061425061425036</v>
      </c>
      <c r="Q10" t="str">
        <f t="shared" si="1"/>
        <v>Moderate</v>
      </c>
      <c r="R10">
        <v>2.7997886951928064</v>
      </c>
      <c r="S10">
        <v>1.984564498346193</v>
      </c>
      <c r="T10">
        <v>2.9302077783697391</v>
      </c>
      <c r="U10" t="str">
        <f t="shared" si="6"/>
        <v>Moderate</v>
      </c>
      <c r="V10">
        <v>2.7241770715096547</v>
      </c>
      <c r="W10" t="str">
        <f t="shared" si="2"/>
        <v>Moderate</v>
      </c>
      <c r="X10">
        <v>-1.3385387618516482</v>
      </c>
      <c r="Y10" t="str">
        <f t="shared" si="3"/>
        <v>Low</v>
      </c>
      <c r="Z10">
        <v>2.5452488687782804</v>
      </c>
      <c r="AA10">
        <v>4.0892193308550127</v>
      </c>
      <c r="AB10">
        <v>2.7108433734939759</v>
      </c>
      <c r="AC10">
        <v>2.3658395845354843</v>
      </c>
      <c r="AD10">
        <v>3.7870472008781597</v>
      </c>
      <c r="AE10">
        <v>9.0026954177897505</v>
      </c>
      <c r="AF10">
        <v>4.049493813273334</v>
      </c>
      <c r="AG10" t="str">
        <f t="shared" si="4"/>
        <v>High</v>
      </c>
      <c r="AH10">
        <v>5.49</v>
      </c>
      <c r="AI10" t="str">
        <f t="shared" si="5"/>
        <v>High</v>
      </c>
    </row>
    <row r="11" spans="1:35">
      <c r="A11" s="2">
        <v>45566</v>
      </c>
      <c r="B11">
        <v>6.9436850738108191</v>
      </c>
      <c r="C11">
        <v>3.1680440771349758</v>
      </c>
      <c r="D11">
        <v>4.9250535331905718</v>
      </c>
      <c r="E11">
        <v>2.9686641011544834</v>
      </c>
      <c r="F11">
        <v>9.571162212554384</v>
      </c>
      <c r="G11">
        <v>8.4310441094360655</v>
      </c>
      <c r="H11">
        <v>42.230881636629313</v>
      </c>
      <c r="I11">
        <v>7.3835480673934475</v>
      </c>
      <c r="J11">
        <v>2.5660964230171159</v>
      </c>
      <c r="K11">
        <v>-7.0118222584590368</v>
      </c>
      <c r="L11">
        <v>2.6719727117680434</v>
      </c>
      <c r="M11">
        <v>3.7018255578093364</v>
      </c>
      <c r="N11">
        <v>9.6909376636982714</v>
      </c>
      <c r="O11" t="str">
        <f t="shared" si="0"/>
        <v>High</v>
      </c>
      <c r="P11">
        <v>2.5012260912211839</v>
      </c>
      <c r="Q11" t="str">
        <f t="shared" si="1"/>
        <v>Moderate</v>
      </c>
      <c r="R11">
        <v>2.7894736842105323</v>
      </c>
      <c r="S11">
        <v>2.1475770925110163</v>
      </c>
      <c r="T11">
        <v>3.0834662413609841</v>
      </c>
      <c r="U11" t="str">
        <f t="shared" si="6"/>
        <v>High</v>
      </c>
      <c r="V11">
        <v>2.8137310073157007</v>
      </c>
      <c r="W11" t="str">
        <f t="shared" si="2"/>
        <v>Moderate</v>
      </c>
      <c r="X11">
        <v>-1.6685205784204671</v>
      </c>
      <c r="Y11" t="str">
        <f t="shared" si="3"/>
        <v>Low</v>
      </c>
      <c r="Z11">
        <v>2.6538678712591852</v>
      </c>
      <c r="AA11">
        <v>3.9640591966173364</v>
      </c>
      <c r="AB11">
        <v>2.7694160144491238</v>
      </c>
      <c r="AC11">
        <v>2.4179620034542415</v>
      </c>
      <c r="AD11">
        <v>3.8968166849615931</v>
      </c>
      <c r="AE11">
        <v>10.991379310344831</v>
      </c>
      <c r="AF11">
        <v>4.3234138124649171</v>
      </c>
      <c r="AG11" t="str">
        <f t="shared" si="4"/>
        <v>High</v>
      </c>
      <c r="AH11">
        <v>6.21</v>
      </c>
      <c r="AI11" t="str">
        <f t="shared" si="5"/>
        <v>High</v>
      </c>
    </row>
    <row r="12" spans="1:35">
      <c r="A12" s="2">
        <v>45597</v>
      </c>
      <c r="B12">
        <v>6.8797399783315365</v>
      </c>
      <c r="C12">
        <v>4.6728971962616823</v>
      </c>
      <c r="D12">
        <v>4.8412285268089601</v>
      </c>
      <c r="E12">
        <v>2.8540065861690547</v>
      </c>
      <c r="F12">
        <v>13.2793017456359</v>
      </c>
      <c r="G12">
        <v>7.6793721973094105</v>
      </c>
      <c r="H12">
        <v>29.373549883990723</v>
      </c>
      <c r="I12">
        <v>5.4119941491955119</v>
      </c>
      <c r="J12">
        <v>1.3066871637202282</v>
      </c>
      <c r="K12">
        <v>-7.4269480519480569</v>
      </c>
      <c r="L12">
        <v>2.7195467422096384</v>
      </c>
      <c r="M12">
        <v>3.9493670886076004</v>
      </c>
      <c r="N12">
        <v>8.2035306334371807</v>
      </c>
      <c r="O12" t="str">
        <f t="shared" si="0"/>
        <v>High</v>
      </c>
      <c r="P12">
        <v>2.3483365949119288</v>
      </c>
      <c r="Q12" t="str">
        <f t="shared" si="1"/>
        <v>Moderate</v>
      </c>
      <c r="R12">
        <v>2.7821522309711346</v>
      </c>
      <c r="S12">
        <v>2.197802197802198</v>
      </c>
      <c r="T12">
        <v>2.9661016949152512</v>
      </c>
      <c r="U12" t="str">
        <f t="shared" si="6"/>
        <v>Moderate</v>
      </c>
      <c r="V12">
        <v>2.8667790893760503</v>
      </c>
      <c r="W12" t="str">
        <f t="shared" si="2"/>
        <v>Moderate</v>
      </c>
      <c r="X12">
        <v>-1.8343524180100119</v>
      </c>
      <c r="Y12" t="str">
        <f t="shared" si="3"/>
        <v>Low</v>
      </c>
      <c r="Z12">
        <v>2.818489289740699</v>
      </c>
      <c r="AA12">
        <v>4.0063257775435019</v>
      </c>
      <c r="AB12">
        <v>2.7043269230769229</v>
      </c>
      <c r="AC12">
        <v>2.6467203682393521</v>
      </c>
      <c r="AD12">
        <v>3.8925438596491198</v>
      </c>
      <c r="AE12">
        <v>10.416666666666668</v>
      </c>
      <c r="AF12">
        <v>4.2553191489361675</v>
      </c>
      <c r="AG12" t="str">
        <f t="shared" si="4"/>
        <v>High</v>
      </c>
      <c r="AH12">
        <v>5.48</v>
      </c>
      <c r="AI12" t="str">
        <f t="shared" si="5"/>
        <v>High</v>
      </c>
    </row>
    <row r="13" spans="1:35">
      <c r="A13" s="2">
        <v>45627</v>
      </c>
      <c r="B13">
        <v>6.5053763440860184</v>
      </c>
      <c r="C13">
        <v>5.3005205868433451</v>
      </c>
      <c r="D13">
        <v>6.8513853904282094</v>
      </c>
      <c r="E13">
        <v>2.7960526315789442</v>
      </c>
      <c r="F13">
        <v>14.597629444791002</v>
      </c>
      <c r="G13">
        <v>8.6039886039886007</v>
      </c>
      <c r="H13">
        <v>26.555609995100447</v>
      </c>
      <c r="I13">
        <v>3.8312318137730386</v>
      </c>
      <c r="J13">
        <v>0.22970903522206076</v>
      </c>
      <c r="K13">
        <v>-7.4104234527687245</v>
      </c>
      <c r="L13">
        <v>2.9994340690435837</v>
      </c>
      <c r="M13">
        <v>4.0383644623927308</v>
      </c>
      <c r="N13">
        <v>7.6882845188284614</v>
      </c>
      <c r="O13" t="str">
        <f t="shared" si="0"/>
        <v>High</v>
      </c>
      <c r="P13">
        <v>2.4938875305623442</v>
      </c>
      <c r="Q13" t="str">
        <f t="shared" si="1"/>
        <v>Moderate</v>
      </c>
      <c r="R13">
        <v>2.8287061288632822</v>
      </c>
      <c r="S13">
        <v>2.0833333333333237</v>
      </c>
      <c r="T13">
        <v>2.9598308668076232</v>
      </c>
      <c r="U13" t="str">
        <f t="shared" si="6"/>
        <v>Moderate</v>
      </c>
      <c r="V13">
        <v>2.7133973996608156</v>
      </c>
      <c r="W13" t="str">
        <f t="shared" si="2"/>
        <v>Moderate</v>
      </c>
      <c r="X13">
        <v>-1.3318534961154147</v>
      </c>
      <c r="Y13" t="str">
        <f t="shared" si="3"/>
        <v>Low</v>
      </c>
      <c r="Z13">
        <v>2.8105677346824058</v>
      </c>
      <c r="AA13">
        <v>4.0462427745664682</v>
      </c>
      <c r="AB13">
        <v>2.6410564225690312</v>
      </c>
      <c r="AC13">
        <v>2.6995979322228703</v>
      </c>
      <c r="AD13">
        <v>3.9452054794520484</v>
      </c>
      <c r="AE13">
        <v>9.7560975609756131</v>
      </c>
      <c r="AF13">
        <v>4.1899441340782122</v>
      </c>
      <c r="AG13" t="str">
        <f t="shared" si="4"/>
        <v>High</v>
      </c>
      <c r="AH13">
        <v>5.22</v>
      </c>
      <c r="AI13" t="str">
        <f t="shared" si="5"/>
        <v>High</v>
      </c>
    </row>
    <row r="14" spans="1:35">
      <c r="A14" s="2">
        <v>45658</v>
      </c>
      <c r="B14">
        <v>6.243329775880464</v>
      </c>
      <c r="C14">
        <v>5.2532833020637977</v>
      </c>
      <c r="D14">
        <v>1.2664393570384773</v>
      </c>
      <c r="E14">
        <v>2.8461959496442351</v>
      </c>
      <c r="F14">
        <v>15.640703517587944</v>
      </c>
      <c r="G14">
        <v>12.158231529959282</v>
      </c>
      <c r="H14">
        <v>11.349693251533752</v>
      </c>
      <c r="I14">
        <v>2.5452765540871209</v>
      </c>
      <c r="J14">
        <v>0.3074558032282903</v>
      </c>
      <c r="K14">
        <v>-6.8481848184818448</v>
      </c>
      <c r="L14">
        <v>3.3879164313946921</v>
      </c>
      <c r="M14">
        <v>4.0744466800804799</v>
      </c>
      <c r="N14">
        <v>5.6812204103103694</v>
      </c>
      <c r="O14" t="str">
        <f t="shared" si="0"/>
        <v>High</v>
      </c>
      <c r="P14">
        <v>2.296042989741093</v>
      </c>
      <c r="Q14" t="str">
        <f t="shared" si="1"/>
        <v>Moderate</v>
      </c>
      <c r="R14">
        <v>2.7182435964453679</v>
      </c>
      <c r="S14">
        <v>2.0799124247400171</v>
      </c>
      <c r="T14">
        <v>2.6842105263157867</v>
      </c>
      <c r="U14" t="str">
        <f t="shared" si="6"/>
        <v>Moderate</v>
      </c>
      <c r="V14">
        <v>2.8153153153153152</v>
      </c>
      <c r="W14" t="str">
        <f t="shared" si="2"/>
        <v>Moderate</v>
      </c>
      <c r="X14">
        <v>-1.4925373134328452</v>
      </c>
      <c r="Y14" t="str">
        <f t="shared" si="3"/>
        <v>Low</v>
      </c>
      <c r="Z14">
        <v>2.8619528619528749</v>
      </c>
      <c r="AA14">
        <v>3.974895397489552</v>
      </c>
      <c r="AB14">
        <v>2.7577937649880058</v>
      </c>
      <c r="AC14">
        <v>2.6949541284403606</v>
      </c>
      <c r="AD14">
        <v>3.8272279934390379</v>
      </c>
      <c r="AE14">
        <v>10.629296668429401</v>
      </c>
      <c r="AF14">
        <v>4.3478260869565117</v>
      </c>
      <c r="AG14" t="str">
        <f t="shared" si="4"/>
        <v>High</v>
      </c>
      <c r="AH14">
        <v>4.26</v>
      </c>
      <c r="AI14" t="str">
        <f t="shared" si="5"/>
        <v>High</v>
      </c>
    </row>
    <row r="15" spans="1:35">
      <c r="A15" s="2">
        <v>45689</v>
      </c>
      <c r="B15">
        <v>6.1007957559681696</v>
      </c>
      <c r="C15">
        <v>2.1100917431192636</v>
      </c>
      <c r="D15">
        <v>-2.9571217348447512</v>
      </c>
      <c r="E15">
        <v>2.677595628415304</v>
      </c>
      <c r="F15">
        <v>16.361339229311419</v>
      </c>
      <c r="G15">
        <v>14.819136522753794</v>
      </c>
      <c r="H15">
        <v>-1.1253196930946234</v>
      </c>
      <c r="I15">
        <v>-0.34550839091805957</v>
      </c>
      <c r="J15">
        <v>2.1638330757341442</v>
      </c>
      <c r="K15">
        <v>-5.8452481076534921</v>
      </c>
      <c r="L15">
        <v>3.7267080745341583</v>
      </c>
      <c r="M15">
        <v>4.2126379137412258</v>
      </c>
      <c r="N15">
        <v>3.8360483447188556</v>
      </c>
      <c r="O15" t="str">
        <f t="shared" si="0"/>
        <v>High</v>
      </c>
      <c r="P15">
        <v>2.4366471734892792</v>
      </c>
      <c r="Q15" t="str">
        <f t="shared" si="1"/>
        <v>Moderate</v>
      </c>
      <c r="R15">
        <v>2.7676240208877343</v>
      </c>
      <c r="S15">
        <v>2.0218579234972616</v>
      </c>
      <c r="T15">
        <v>2.6842105263157867</v>
      </c>
      <c r="U15" t="str">
        <f t="shared" si="6"/>
        <v>Moderate</v>
      </c>
      <c r="V15">
        <v>2.9131652661064362</v>
      </c>
      <c r="W15" t="str">
        <f t="shared" si="2"/>
        <v>Moderate</v>
      </c>
      <c r="X15">
        <v>-1.3281682346430421</v>
      </c>
      <c r="Y15" t="str">
        <f t="shared" si="3"/>
        <v>Low</v>
      </c>
      <c r="Z15">
        <v>2.7995520716685331</v>
      </c>
      <c r="AA15">
        <v>4.121022430881589</v>
      </c>
      <c r="AB15">
        <v>2.9341317365269495</v>
      </c>
      <c r="AC15">
        <v>2.6918671248568256</v>
      </c>
      <c r="AD15">
        <v>3.8251366120218582</v>
      </c>
      <c r="AE15">
        <v>13.629160063391431</v>
      </c>
      <c r="AF15">
        <v>4.8387096774193488</v>
      </c>
      <c r="AG15" t="str">
        <f t="shared" si="4"/>
        <v>High</v>
      </c>
      <c r="AH15">
        <v>3.61</v>
      </c>
      <c r="AI15" t="str">
        <f t="shared" si="5"/>
        <v>High</v>
      </c>
    </row>
    <row r="16" spans="1:35">
      <c r="A16" s="2">
        <v>45717</v>
      </c>
      <c r="B16">
        <v>5.9259259259259203</v>
      </c>
      <c r="C16">
        <v>0.31674208144795862</v>
      </c>
      <c r="D16">
        <v>-3.1039834454216244</v>
      </c>
      <c r="E16">
        <v>2.6186579378068644</v>
      </c>
      <c r="F16">
        <v>17.06700379266751</v>
      </c>
      <c r="G16">
        <v>16.265750286368846</v>
      </c>
      <c r="H16">
        <v>-7.0372259051504251</v>
      </c>
      <c r="I16">
        <v>-2.7295285359801489</v>
      </c>
      <c r="J16">
        <v>3.8850038850038855</v>
      </c>
      <c r="K16">
        <v>-4.9229452054794525</v>
      </c>
      <c r="L16">
        <v>4.0632054176072332</v>
      </c>
      <c r="M16">
        <v>4.3021510755377665</v>
      </c>
      <c r="N16">
        <v>2.8841111693759833</v>
      </c>
      <c r="O16" t="str">
        <f t="shared" si="0"/>
        <v>Moderate</v>
      </c>
      <c r="P16">
        <v>2.4793388429752179</v>
      </c>
      <c r="Q16" t="str">
        <f t="shared" si="1"/>
        <v>Moderate</v>
      </c>
      <c r="R16">
        <v>2.7097446586763878</v>
      </c>
      <c r="S16">
        <v>1.9639934533551524</v>
      </c>
      <c r="T16">
        <v>2.6232948583420774</v>
      </c>
      <c r="U16" t="str">
        <f t="shared" si="6"/>
        <v>Moderate</v>
      </c>
      <c r="V16">
        <v>3.0303030303030338</v>
      </c>
      <c r="W16" t="str">
        <f t="shared" si="2"/>
        <v>High</v>
      </c>
      <c r="X16">
        <v>1.422070534698521</v>
      </c>
      <c r="Y16" t="str">
        <f t="shared" si="3"/>
        <v>Moderate</v>
      </c>
      <c r="Z16">
        <v>2.6830631637786375</v>
      </c>
      <c r="AA16">
        <v>4.264170566822667</v>
      </c>
      <c r="AB16">
        <v>3.3593281343731394</v>
      </c>
      <c r="AC16">
        <v>2.4571428571428635</v>
      </c>
      <c r="AD16">
        <v>3.9847161572052467</v>
      </c>
      <c r="AE16">
        <v>13.496612819176656</v>
      </c>
      <c r="AF16">
        <v>4.9944506104328523</v>
      </c>
      <c r="AG16" t="str">
        <f t="shared" si="4"/>
        <v>High</v>
      </c>
      <c r="AH16">
        <v>3.34</v>
      </c>
      <c r="AI16" t="str">
        <f t="shared" si="5"/>
        <v>High</v>
      </c>
    </row>
    <row r="17" spans="1:35">
      <c r="A17" s="2">
        <v>45748</v>
      </c>
      <c r="B17">
        <v>5.3495762711864376</v>
      </c>
      <c r="C17">
        <v>-0.35320088300221253</v>
      </c>
      <c r="D17">
        <v>0.82553659878921293</v>
      </c>
      <c r="E17">
        <v>2.7218290691344587</v>
      </c>
      <c r="F17">
        <v>17.424242424242419</v>
      </c>
      <c r="G17">
        <v>13.908355795148253</v>
      </c>
      <c r="H17">
        <v>-10.97683786505538</v>
      </c>
      <c r="I17">
        <v>-5.231984205330698</v>
      </c>
      <c r="J17">
        <v>4.5878693623639233</v>
      </c>
      <c r="K17">
        <v>-3.443766346992156</v>
      </c>
      <c r="L17">
        <v>4.3968432919954807</v>
      </c>
      <c r="M17">
        <v>4.445554445554448</v>
      </c>
      <c r="N17">
        <v>2.1365294424179231</v>
      </c>
      <c r="O17" t="str">
        <f t="shared" si="0"/>
        <v>Moderate</v>
      </c>
      <c r="P17">
        <v>2.0813165537270142</v>
      </c>
      <c r="Q17" t="str">
        <f t="shared" si="1"/>
        <v>Moderate</v>
      </c>
      <c r="R17">
        <v>2.7041081643265672</v>
      </c>
      <c r="S17">
        <v>2.0708446866485075</v>
      </c>
      <c r="T17">
        <v>2.6701570680628244</v>
      </c>
      <c r="U17" t="str">
        <f t="shared" si="6"/>
        <v>Moderate</v>
      </c>
      <c r="V17">
        <v>3.0572540300166757</v>
      </c>
      <c r="W17" t="str">
        <f t="shared" si="2"/>
        <v>High</v>
      </c>
      <c r="X17">
        <v>2.9243119266055011</v>
      </c>
      <c r="Y17" t="str">
        <f t="shared" si="3"/>
        <v>Moderate</v>
      </c>
      <c r="Z17">
        <v>2.508361204013378</v>
      </c>
      <c r="AA17">
        <v>4.2509072058061115</v>
      </c>
      <c r="AB17">
        <v>3.6680697534576026</v>
      </c>
      <c r="AC17">
        <v>2.5114155251141588</v>
      </c>
      <c r="AD17">
        <v>4.1349292709466781</v>
      </c>
      <c r="AE17">
        <v>12.9489124936773</v>
      </c>
      <c r="AF17">
        <v>5.022075055187651</v>
      </c>
      <c r="AG17" t="str">
        <f t="shared" si="4"/>
        <v>High</v>
      </c>
      <c r="AH17">
        <v>3.16</v>
      </c>
      <c r="AI17" t="str">
        <f t="shared" si="5"/>
        <v>High</v>
      </c>
    </row>
    <row r="18" spans="1:35">
      <c r="A18" s="2">
        <v>45778</v>
      </c>
      <c r="B18">
        <v>4.7669491525423728</v>
      </c>
      <c r="C18">
        <v>-0.43497172683775559</v>
      </c>
      <c r="D18">
        <v>0.64343163538873382</v>
      </c>
      <c r="E18">
        <v>3.1487513572204189</v>
      </c>
      <c r="F18">
        <v>17.906683480453978</v>
      </c>
      <c r="G18">
        <v>12.738160043549268</v>
      </c>
      <c r="H18">
        <v>-13.700633837152607</v>
      </c>
      <c r="I18">
        <v>-8.2158483228001842</v>
      </c>
      <c r="J18">
        <v>4.1634541249036285</v>
      </c>
      <c r="K18">
        <v>-2.7716673999120154</v>
      </c>
      <c r="L18">
        <v>4.5608108108108079</v>
      </c>
      <c r="M18">
        <v>4.384653712007978</v>
      </c>
      <c r="N18">
        <v>1.5010351966873736</v>
      </c>
      <c r="O18" t="str">
        <f t="shared" si="0"/>
        <v>Moderate</v>
      </c>
      <c r="P18">
        <v>2.4142926122646067</v>
      </c>
      <c r="Q18" t="str">
        <f t="shared" si="1"/>
        <v>Moderate</v>
      </c>
      <c r="R18">
        <v>2.7518172377985524</v>
      </c>
      <c r="S18">
        <v>2.1786492374727668</v>
      </c>
      <c r="T18">
        <v>2.6659696811291136</v>
      </c>
      <c r="U18" t="str">
        <f t="shared" si="6"/>
        <v>Moderate</v>
      </c>
      <c r="V18">
        <v>3.1649083842309924</v>
      </c>
      <c r="W18" t="str">
        <f t="shared" si="2"/>
        <v>High</v>
      </c>
      <c r="X18">
        <v>2.8392958546280522</v>
      </c>
      <c r="Y18" t="str">
        <f t="shared" si="3"/>
        <v>Moderate</v>
      </c>
      <c r="Z18">
        <v>2.5055679287305126</v>
      </c>
      <c r="AA18">
        <v>4.3410852713178318</v>
      </c>
      <c r="AB18">
        <v>3.8461538461538494</v>
      </c>
      <c r="AC18">
        <v>2.4487471526195965</v>
      </c>
      <c r="AD18">
        <v>4.1237113402061816</v>
      </c>
      <c r="AE18">
        <v>13.54062186559679</v>
      </c>
      <c r="AF18">
        <v>5.1733626857457384</v>
      </c>
      <c r="AG18" t="str">
        <f t="shared" si="4"/>
        <v>High</v>
      </c>
      <c r="AH18">
        <v>2.82</v>
      </c>
      <c r="AI18" t="str">
        <f t="shared" si="5"/>
        <v>Moderate</v>
      </c>
    </row>
    <row r="19" spans="1:35">
      <c r="A19" s="2">
        <v>45809</v>
      </c>
      <c r="B19">
        <v>3.7348763808521803</v>
      </c>
      <c r="C19">
        <v>-1.6197783461210498</v>
      </c>
      <c r="D19">
        <v>2.5748817656331986</v>
      </c>
      <c r="E19">
        <v>2.8047464940668765</v>
      </c>
      <c r="F19">
        <v>17.750000000000004</v>
      </c>
      <c r="G19">
        <v>12.642430819316322</v>
      </c>
      <c r="H19">
        <v>-18.915456874466262</v>
      </c>
      <c r="I19">
        <v>-11.759127548601239</v>
      </c>
      <c r="J19">
        <v>3.5195103289977223</v>
      </c>
      <c r="K19">
        <v>-3.0303030303030205</v>
      </c>
      <c r="L19">
        <v>4.3234138124649171</v>
      </c>
      <c r="M19">
        <v>4.3176178660049569</v>
      </c>
      <c r="N19">
        <v>-0.15120967741936056</v>
      </c>
      <c r="O19" t="str">
        <f t="shared" si="0"/>
        <v>Low</v>
      </c>
      <c r="P19">
        <v>2.407318247472316</v>
      </c>
      <c r="Q19" t="str">
        <f t="shared" si="1"/>
        <v>Moderate</v>
      </c>
      <c r="R19">
        <v>2.639751552795043</v>
      </c>
      <c r="S19">
        <v>2.2294725394235964</v>
      </c>
      <c r="T19">
        <v>2.5534132360604511</v>
      </c>
      <c r="U19" t="str">
        <f t="shared" si="6"/>
        <v>Moderate</v>
      </c>
      <c r="V19">
        <v>3.1825795644891222</v>
      </c>
      <c r="W19" t="str">
        <f t="shared" si="2"/>
        <v>High</v>
      </c>
      <c r="X19">
        <v>2.5524673851389674</v>
      </c>
      <c r="Y19" t="str">
        <f t="shared" si="3"/>
        <v>Moderate</v>
      </c>
      <c r="Z19">
        <v>2.5569760978321256</v>
      </c>
      <c r="AA19">
        <v>4.3814432989690717</v>
      </c>
      <c r="AB19">
        <v>3.8992201559688064</v>
      </c>
      <c r="AC19">
        <v>2.5028441410693838</v>
      </c>
      <c r="AD19">
        <v>4.3665768194070056</v>
      </c>
      <c r="AE19">
        <v>14.807403701850921</v>
      </c>
      <c r="AF19">
        <v>5.4884742041712409</v>
      </c>
      <c r="AG19" t="str">
        <f t="shared" si="4"/>
        <v>High</v>
      </c>
      <c r="AH19">
        <v>2.1</v>
      </c>
      <c r="AI19" t="str">
        <f t="shared" si="5"/>
        <v>Moderate</v>
      </c>
    </row>
    <row r="20" spans="1:35">
      <c r="A20" s="2">
        <v>45839</v>
      </c>
      <c r="B20">
        <v>3.0318870883429079</v>
      </c>
      <c r="C20">
        <v>-0.60684872128304179</v>
      </c>
      <c r="D20">
        <v>2.2130725681935064</v>
      </c>
      <c r="E20">
        <v>2.6881720430107525</v>
      </c>
      <c r="F20">
        <v>19.242706393544385</v>
      </c>
      <c r="G20">
        <v>14.47721179624665</v>
      </c>
      <c r="H20">
        <v>-20.650953984287323</v>
      </c>
      <c r="I20">
        <v>-13.757604117922313</v>
      </c>
      <c r="J20">
        <v>3.2824427480916114</v>
      </c>
      <c r="K20">
        <v>-3.1154014918824022</v>
      </c>
      <c r="L20">
        <v>4.5964125560538047</v>
      </c>
      <c r="M20">
        <v>4.4037605145967369</v>
      </c>
      <c r="N20">
        <v>-0.83620265617315148</v>
      </c>
      <c r="O20" t="str">
        <f t="shared" si="0"/>
        <v>Low</v>
      </c>
      <c r="P20">
        <v>2.4495677233429505</v>
      </c>
      <c r="Q20" t="str">
        <f t="shared" si="1"/>
        <v>Moderate</v>
      </c>
      <c r="R20">
        <v>2.5826446280991737</v>
      </c>
      <c r="S20">
        <v>2.1703743895822027</v>
      </c>
      <c r="T20">
        <v>2.496099843993751</v>
      </c>
      <c r="U20" t="str">
        <f t="shared" si="6"/>
        <v>Moderate</v>
      </c>
      <c r="V20">
        <v>3.1666666666666607</v>
      </c>
      <c r="W20" t="str">
        <f t="shared" si="2"/>
        <v>High</v>
      </c>
      <c r="X20">
        <v>2.6704545454545392</v>
      </c>
      <c r="Y20" t="str">
        <f t="shared" si="3"/>
        <v>Moderate</v>
      </c>
      <c r="Z20">
        <v>2.6082130965593882</v>
      </c>
      <c r="AA20">
        <v>4.573484069886951</v>
      </c>
      <c r="AB20">
        <v>2.1188934667451407</v>
      </c>
      <c r="AC20">
        <v>2.3823028927963632</v>
      </c>
      <c r="AD20">
        <v>4.1110517885744731</v>
      </c>
      <c r="AE20">
        <v>15.119760479041908</v>
      </c>
      <c r="AF20">
        <v>5.0081654872074131</v>
      </c>
      <c r="AG20" t="str">
        <f t="shared" si="4"/>
        <v>High</v>
      </c>
      <c r="AH20">
        <v>1.61</v>
      </c>
      <c r="AI20" t="str">
        <f t="shared" si="5"/>
        <v>Moderate</v>
      </c>
    </row>
    <row r="21" spans="1:35">
      <c r="A21" s="2">
        <v>45870</v>
      </c>
      <c r="B21">
        <v>2.7027027027026964</v>
      </c>
      <c r="C21">
        <v>1.4778325123152631</v>
      </c>
      <c r="D21">
        <v>3.1216931216931245</v>
      </c>
      <c r="E21">
        <v>2.6273458445040245</v>
      </c>
      <c r="F21">
        <v>21.238390092879264</v>
      </c>
      <c r="G21">
        <v>11.650992685475435</v>
      </c>
      <c r="H21">
        <v>-15.918680475642502</v>
      </c>
      <c r="I21">
        <v>-14.53190498369818</v>
      </c>
      <c r="J21">
        <v>3.7290715372907193</v>
      </c>
      <c r="K21">
        <v>-3.2441911442349869</v>
      </c>
      <c r="L21">
        <v>4.2968750000000098</v>
      </c>
      <c r="M21">
        <v>4.1871921182266005</v>
      </c>
      <c r="N21">
        <v>4.9333991119892812E-2</v>
      </c>
      <c r="O21" t="str">
        <f t="shared" si="0"/>
        <v>Low</v>
      </c>
      <c r="P21">
        <v>2.4940047961630638</v>
      </c>
      <c r="Q21" t="str">
        <f t="shared" si="1"/>
        <v>Moderate</v>
      </c>
      <c r="R21">
        <v>2.4214322514168045</v>
      </c>
      <c r="S21">
        <v>2.0021645021644958</v>
      </c>
      <c r="T21">
        <v>2.3340248962655603</v>
      </c>
      <c r="U21" t="str">
        <f t="shared" si="6"/>
        <v>Moderate</v>
      </c>
      <c r="V21">
        <v>3.0922142462727744</v>
      </c>
      <c r="W21" t="str">
        <f t="shared" si="2"/>
        <v>High</v>
      </c>
      <c r="X21">
        <v>2.4335031126202669</v>
      </c>
      <c r="Y21" t="str">
        <f t="shared" si="3"/>
        <v>Moderate</v>
      </c>
      <c r="Z21">
        <v>2.5428413488114949</v>
      </c>
      <c r="AA21">
        <v>4.4012282497441113</v>
      </c>
      <c r="AB21">
        <v>1.936619718309849</v>
      </c>
      <c r="AC21">
        <v>2.2033898305084776</v>
      </c>
      <c r="AD21">
        <v>3.6036036036036099</v>
      </c>
      <c r="AE21">
        <v>16.60830415207603</v>
      </c>
      <c r="AF21">
        <v>5.0461204557786123</v>
      </c>
      <c r="AG21" t="str">
        <f t="shared" si="4"/>
        <v>High</v>
      </c>
      <c r="AH21">
        <v>2.0699999999999998</v>
      </c>
      <c r="AI21" t="str">
        <f t="shared" si="5"/>
        <v>Moderate</v>
      </c>
    </row>
    <row r="23" spans="1:35">
      <c r="A2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D4EC5-8408-4007-8492-0A9580EE3125}">
  <dimension ref="A1:H26"/>
  <sheetViews>
    <sheetView zoomScale="70" workbookViewId="0">
      <selection activeCell="H1" sqref="H1"/>
    </sheetView>
  </sheetViews>
  <sheetFormatPr defaultRowHeight="14.5"/>
  <cols>
    <col min="1" max="1" width="13.26953125" customWidth="1"/>
    <col min="2" max="2" width="19.54296875" customWidth="1"/>
    <col min="3" max="3" width="26.90625" customWidth="1"/>
    <col min="4" max="4" width="21.54296875" customWidth="1"/>
    <col min="5" max="5" width="9.54296875" customWidth="1"/>
    <col min="6" max="6" width="14" customWidth="1"/>
    <col min="7" max="7" width="14.6328125" customWidth="1"/>
  </cols>
  <sheetData>
    <row r="1" spans="1:8">
      <c r="A1" t="s">
        <v>29</v>
      </c>
      <c r="B1" s="1" t="s">
        <v>13</v>
      </c>
      <c r="C1" s="1" t="s">
        <v>14</v>
      </c>
      <c r="D1" s="1" t="s">
        <v>17</v>
      </c>
      <c r="E1" s="1" t="s">
        <v>18</v>
      </c>
      <c r="F1" s="1" t="s">
        <v>19</v>
      </c>
      <c r="G1" s="1" t="s">
        <v>26</v>
      </c>
      <c r="H1" s="1" t="s">
        <v>51</v>
      </c>
    </row>
    <row r="2" spans="1:8">
      <c r="A2" s="4" t="s">
        <v>27</v>
      </c>
      <c r="B2" s="1">
        <v>45.870000000000005</v>
      </c>
      <c r="C2" s="1">
        <v>2.38</v>
      </c>
      <c r="D2" s="1">
        <v>6.53</v>
      </c>
      <c r="E2" s="1">
        <v>6.84</v>
      </c>
      <c r="F2" s="1">
        <v>10.07</v>
      </c>
      <c r="G2" s="1">
        <v>28.31</v>
      </c>
      <c r="H2" s="1"/>
    </row>
    <row r="3" spans="1:8">
      <c r="A3" s="6">
        <v>45292</v>
      </c>
      <c r="B3">
        <v>7.5834748160724423</v>
      </c>
      <c r="C3">
        <v>3.2795156407669022</v>
      </c>
      <c r="D3">
        <v>3.8251366120218582</v>
      </c>
      <c r="E3">
        <v>3.1958163858221962</v>
      </c>
      <c r="F3">
        <v>-0.60439560439560125</v>
      </c>
      <c r="G3">
        <v>3.8194444444444406</v>
      </c>
      <c r="H3">
        <v>5.0999999999999996</v>
      </c>
    </row>
    <row r="4" spans="1:8">
      <c r="A4" s="6">
        <v>45323</v>
      </c>
      <c r="B4">
        <v>7.7576443941109945</v>
      </c>
      <c r="C4">
        <v>3.1155778894472306</v>
      </c>
      <c r="D4">
        <v>3.5364526659412401</v>
      </c>
      <c r="E4">
        <v>2.8818443804034581</v>
      </c>
      <c r="F4">
        <v>-0.76880834706205692</v>
      </c>
      <c r="G4">
        <v>3.6311239193083642</v>
      </c>
      <c r="H4">
        <v>5.09</v>
      </c>
    </row>
    <row r="5" spans="1:8">
      <c r="A5" s="6">
        <v>45352</v>
      </c>
      <c r="B5">
        <v>7.7401129943502758</v>
      </c>
      <c r="C5">
        <v>3.1077694235588917</v>
      </c>
      <c r="D5">
        <v>3.30623306233062</v>
      </c>
      <c r="E5">
        <v>2.7089337175792441</v>
      </c>
      <c r="F5">
        <v>-3.3534909290819099</v>
      </c>
      <c r="G5">
        <v>3.5037334865020071</v>
      </c>
      <c r="H5">
        <v>4.8499999999999996</v>
      </c>
    </row>
    <row r="6" spans="1:8">
      <c r="A6" s="6">
        <v>45383</v>
      </c>
      <c r="B6">
        <v>7.869589657110736</v>
      </c>
      <c r="C6">
        <v>2.9910269192422732</v>
      </c>
      <c r="D6">
        <v>3.1874662344678582</v>
      </c>
      <c r="E6">
        <v>2.6826484018264938</v>
      </c>
      <c r="F6">
        <v>-4.017611447440828</v>
      </c>
      <c r="G6">
        <v>3.5428571428571365</v>
      </c>
      <c r="H6">
        <v>4.83</v>
      </c>
    </row>
    <row r="7" spans="1:8">
      <c r="A7" s="6">
        <v>45413</v>
      </c>
      <c r="B7">
        <v>7.872696817420433</v>
      </c>
      <c r="C7">
        <v>3.0348258706467632</v>
      </c>
      <c r="D7">
        <v>3.0156165858912352</v>
      </c>
      <c r="E7">
        <v>2.5626423690205016</v>
      </c>
      <c r="F7">
        <v>-3.6652078774617158</v>
      </c>
      <c r="G7">
        <v>3.414911781445646</v>
      </c>
      <c r="H7">
        <v>4.8</v>
      </c>
    </row>
    <row r="8" spans="1:8">
      <c r="A8" s="6">
        <v>45444</v>
      </c>
      <c r="B8">
        <v>8.3560895685417869</v>
      </c>
      <c r="C8">
        <v>3.0769230769230713</v>
      </c>
      <c r="D8">
        <v>3.0612244897959275</v>
      </c>
      <c r="E8">
        <v>2.6949541284403606</v>
      </c>
      <c r="F8">
        <v>-3.6085292509568037</v>
      </c>
      <c r="G8">
        <v>3.4052213393870598</v>
      </c>
      <c r="H8">
        <v>5.08</v>
      </c>
    </row>
    <row r="9" spans="1:8">
      <c r="A9" s="6">
        <v>45474</v>
      </c>
      <c r="B9">
        <v>5.0645994832041401</v>
      </c>
      <c r="C9">
        <v>3.018307768431467</v>
      </c>
      <c r="D9">
        <v>2.9443254817987148</v>
      </c>
      <c r="E9">
        <v>2.681118083285789</v>
      </c>
      <c r="F9">
        <v>-5.477980665950585</v>
      </c>
      <c r="G9">
        <v>3.8439796495194924</v>
      </c>
      <c r="H9">
        <v>3.6</v>
      </c>
    </row>
    <row r="10" spans="1:8">
      <c r="A10" s="6">
        <v>45505</v>
      </c>
      <c r="B10">
        <v>5.2987012987012934</v>
      </c>
      <c r="C10">
        <v>2.7093596059113301</v>
      </c>
      <c r="D10">
        <v>2.9364655632674852</v>
      </c>
      <c r="E10">
        <v>2.6643990929705148</v>
      </c>
      <c r="F10">
        <v>-5.2546916890080491</v>
      </c>
      <c r="G10">
        <v>3.8895152198421679</v>
      </c>
      <c r="H10">
        <v>3.65</v>
      </c>
    </row>
    <row r="11" spans="1:8">
      <c r="A11" s="6">
        <v>45536</v>
      </c>
      <c r="B11">
        <v>8.3597883597883662</v>
      </c>
      <c r="C11">
        <v>2.5061425061425036</v>
      </c>
      <c r="D11">
        <v>2.9302077783697391</v>
      </c>
      <c r="E11">
        <v>2.7241770715096547</v>
      </c>
      <c r="F11">
        <v>-1.3385387618516482</v>
      </c>
      <c r="G11">
        <v>4.049493813273334</v>
      </c>
      <c r="H11">
        <v>5.49</v>
      </c>
    </row>
    <row r="12" spans="1:8">
      <c r="A12" s="6">
        <v>45566</v>
      </c>
      <c r="B12">
        <v>9.6909376636982714</v>
      </c>
      <c r="C12">
        <v>2.5012260912211839</v>
      </c>
      <c r="D12">
        <v>3.0834662413609841</v>
      </c>
      <c r="E12">
        <v>2.8137310073157007</v>
      </c>
      <c r="F12">
        <v>-1.6685205784204671</v>
      </c>
      <c r="G12">
        <v>4.3234138124649171</v>
      </c>
      <c r="H12">
        <v>6.21</v>
      </c>
    </row>
    <row r="13" spans="1:8">
      <c r="A13" s="6">
        <v>45597</v>
      </c>
      <c r="B13">
        <v>8.2035306334371807</v>
      </c>
      <c r="C13">
        <v>2.3483365949119288</v>
      </c>
      <c r="D13">
        <v>2.9661016949152512</v>
      </c>
      <c r="E13">
        <v>2.8667790893760503</v>
      </c>
      <c r="F13">
        <v>-1.8343524180100119</v>
      </c>
      <c r="G13">
        <v>4.2553191489361675</v>
      </c>
      <c r="H13">
        <v>5.48</v>
      </c>
    </row>
    <row r="14" spans="1:8">
      <c r="A14" s="6">
        <v>45627</v>
      </c>
      <c r="B14">
        <v>7.6882845188284614</v>
      </c>
      <c r="C14">
        <v>2.4938875305623442</v>
      </c>
      <c r="D14">
        <v>2.9598308668076232</v>
      </c>
      <c r="E14">
        <v>2.7133973996608156</v>
      </c>
      <c r="F14">
        <v>-1.3318534961154147</v>
      </c>
      <c r="G14">
        <v>4.1899441340782122</v>
      </c>
      <c r="H14">
        <v>5.22</v>
      </c>
    </row>
    <row r="15" spans="1:8">
      <c r="A15" s="6">
        <v>45658</v>
      </c>
      <c r="B15">
        <v>5.6812204103103694</v>
      </c>
      <c r="C15">
        <v>2.296042989741093</v>
      </c>
      <c r="D15">
        <v>2.6842105263157867</v>
      </c>
      <c r="E15">
        <v>2.8153153153153152</v>
      </c>
      <c r="F15">
        <v>-1.4925373134328452</v>
      </c>
      <c r="G15">
        <v>4.3478260869565117</v>
      </c>
      <c r="H15">
        <v>4.26</v>
      </c>
    </row>
    <row r="16" spans="1:8">
      <c r="A16" s="6">
        <v>45689</v>
      </c>
      <c r="B16">
        <v>3.8360483447188556</v>
      </c>
      <c r="C16">
        <v>2.4366471734892792</v>
      </c>
      <c r="D16">
        <v>2.6842105263157867</v>
      </c>
      <c r="E16">
        <v>2.9131652661064362</v>
      </c>
      <c r="F16">
        <v>-1.3281682346430421</v>
      </c>
      <c r="G16">
        <v>4.8387096774193488</v>
      </c>
      <c r="H16">
        <v>3.61</v>
      </c>
    </row>
    <row r="17" spans="1:8">
      <c r="A17" s="6">
        <v>45717</v>
      </c>
      <c r="B17">
        <v>2.8841111693759833</v>
      </c>
      <c r="C17">
        <v>2.4793388429752179</v>
      </c>
      <c r="D17">
        <v>2.6232948583420774</v>
      </c>
      <c r="E17">
        <v>3.0303030303030338</v>
      </c>
      <c r="F17">
        <v>1.422070534698521</v>
      </c>
      <c r="G17">
        <v>4.9944506104328523</v>
      </c>
      <c r="H17">
        <v>3.34</v>
      </c>
    </row>
    <row r="18" spans="1:8">
      <c r="A18" s="6">
        <v>45748</v>
      </c>
      <c r="B18">
        <v>2.1365294424179231</v>
      </c>
      <c r="C18">
        <v>2.0813165537270142</v>
      </c>
      <c r="D18">
        <v>2.6701570680628244</v>
      </c>
      <c r="E18">
        <v>3.0572540300166757</v>
      </c>
      <c r="F18">
        <v>2.9243119266055011</v>
      </c>
      <c r="G18">
        <v>5.022075055187651</v>
      </c>
      <c r="H18">
        <v>3.16</v>
      </c>
    </row>
    <row r="19" spans="1:8">
      <c r="A19" s="6">
        <v>45778</v>
      </c>
      <c r="B19">
        <v>1.5010351966873736</v>
      </c>
      <c r="C19">
        <v>2.4142926122646067</v>
      </c>
      <c r="D19">
        <v>2.6659696811291136</v>
      </c>
      <c r="E19">
        <v>3.1649083842309924</v>
      </c>
      <c r="F19">
        <v>2.8392958546280522</v>
      </c>
      <c r="G19">
        <v>5.1733626857457384</v>
      </c>
      <c r="H19">
        <v>2.82</v>
      </c>
    </row>
    <row r="20" spans="1:8">
      <c r="A20" s="6">
        <v>45809</v>
      </c>
      <c r="B20">
        <v>-0.15120967741936056</v>
      </c>
      <c r="C20">
        <v>2.407318247472316</v>
      </c>
      <c r="D20">
        <v>2.5534132360604511</v>
      </c>
      <c r="E20">
        <v>3.1825795644891222</v>
      </c>
      <c r="F20">
        <v>2.5524673851389674</v>
      </c>
      <c r="G20">
        <v>5.4884742041712409</v>
      </c>
      <c r="H20">
        <v>2.1</v>
      </c>
    </row>
    <row r="21" spans="1:8">
      <c r="A21" s="6">
        <v>45839</v>
      </c>
      <c r="B21">
        <v>-0.83620265617315148</v>
      </c>
      <c r="C21">
        <v>2.4495677233429505</v>
      </c>
      <c r="D21">
        <v>2.496099843993751</v>
      </c>
      <c r="E21">
        <v>3.1666666666666607</v>
      </c>
      <c r="F21">
        <v>2.6704545454545392</v>
      </c>
      <c r="G21">
        <v>5.0081654872074131</v>
      </c>
      <c r="H21">
        <v>1.61</v>
      </c>
    </row>
    <row r="22" spans="1:8">
      <c r="A22" s="6">
        <v>45870</v>
      </c>
      <c r="B22">
        <v>4.9333991119892812E-2</v>
      </c>
      <c r="C22">
        <v>2.4940047961630638</v>
      </c>
      <c r="D22">
        <v>2.3340248962655603</v>
      </c>
      <c r="E22">
        <v>3.0922142462727744</v>
      </c>
      <c r="F22">
        <v>2.4335031126202669</v>
      </c>
      <c r="G22">
        <v>5.0461204557786123</v>
      </c>
      <c r="H22">
        <v>2.0699999999999998</v>
      </c>
    </row>
    <row r="25" spans="1:8">
      <c r="A25" t="s">
        <v>30</v>
      </c>
      <c r="B25">
        <f>MAX(B3:B22,C3:C22,D3:D22,E3:E22,F3:F22,G3:G22,H3:H22)</f>
        <v>9.6909376636982714</v>
      </c>
    </row>
    <row r="26" spans="1:8">
      <c r="A26" t="s">
        <v>31</v>
      </c>
      <c r="B26">
        <f>MIN(B3:B22,C3:C22,D3:D22,E3:E22,F3:F22,G3:G22,H3:H22)</f>
        <v>-5.477980665950585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A306-517F-4E72-9A18-981AE16DD44E}">
  <dimension ref="A1:Y24"/>
  <sheetViews>
    <sheetView topLeftCell="U1" workbookViewId="0">
      <selection activeCell="C2" sqref="C2:C21"/>
    </sheetView>
  </sheetViews>
  <sheetFormatPr defaultRowHeight="14.5"/>
  <cols>
    <col min="1" max="1" width="14.81640625" customWidth="1"/>
    <col min="2" max="3" width="12.54296875" customWidth="1"/>
  </cols>
  <sheetData>
    <row r="1" spans="1:25">
      <c r="A1" t="s">
        <v>29</v>
      </c>
      <c r="B1" t="s">
        <v>1</v>
      </c>
      <c r="C1" t="s">
        <v>32</v>
      </c>
      <c r="D1" t="s">
        <v>2</v>
      </c>
      <c r="E1" t="s">
        <v>33</v>
      </c>
      <c r="F1" t="s">
        <v>3</v>
      </c>
      <c r="G1" t="s">
        <v>34</v>
      </c>
      <c r="H1" t="s">
        <v>4</v>
      </c>
      <c r="I1" t="s">
        <v>35</v>
      </c>
      <c r="J1" t="s">
        <v>5</v>
      </c>
      <c r="K1" t="s">
        <v>36</v>
      </c>
      <c r="L1" t="s">
        <v>6</v>
      </c>
      <c r="M1" t="s">
        <v>37</v>
      </c>
      <c r="N1" t="s">
        <v>7</v>
      </c>
      <c r="O1" t="s">
        <v>38</v>
      </c>
      <c r="P1" t="s">
        <v>8</v>
      </c>
      <c r="Q1" t="s">
        <v>39</v>
      </c>
      <c r="R1" t="s">
        <v>9</v>
      </c>
      <c r="S1" t="s">
        <v>40</v>
      </c>
      <c r="T1" t="s">
        <v>10</v>
      </c>
      <c r="U1" t="s">
        <v>41</v>
      </c>
      <c r="V1" t="s">
        <v>11</v>
      </c>
      <c r="W1" t="s">
        <v>42</v>
      </c>
      <c r="X1" t="s">
        <v>12</v>
      </c>
      <c r="Y1" t="s">
        <v>43</v>
      </c>
    </row>
    <row r="2" spans="1:25">
      <c r="A2" s="2">
        <v>45292</v>
      </c>
      <c r="B2">
        <v>7.8250863060989602</v>
      </c>
      <c r="C2" t="str">
        <f t="shared" ref="C2:C21" si="0">IF(B2&gt;=3,"High",IF(B2&gt;=1,"Moderate","Low"))</f>
        <v>High</v>
      </c>
      <c r="D2">
        <v>1.1865211200759376</v>
      </c>
      <c r="E2" t="str">
        <f t="shared" ref="E2:E21" si="1">IF(D2&gt;=3,"High",IF(D2&gt;=1,"Moderate","Low"))</f>
        <v>Moderate</v>
      </c>
      <c r="F2">
        <v>5.5526992287917798</v>
      </c>
      <c r="G2" t="str">
        <f t="shared" ref="G2:G21" si="2">IF(F2&gt;=3,"High",IF(F2&gt;=1,"Moderate","Low"))</f>
        <v>High</v>
      </c>
      <c r="H2">
        <v>4.6391752577319556</v>
      </c>
      <c r="I2" t="str">
        <f t="shared" ref="I2:I21" si="3">IF(H2&gt;=3,"High",IF(H2&gt;=1,"Moderate","Low"))</f>
        <v>High</v>
      </c>
      <c r="J2">
        <v>-14.957264957264957</v>
      </c>
      <c r="K2" t="str">
        <f t="shared" ref="K2:K21" si="4">IF(J2&gt;=3,"High",IF(J2&gt;=1,"Moderate","Low"))</f>
        <v>Low</v>
      </c>
      <c r="L2">
        <v>8.5912823752368883</v>
      </c>
      <c r="M2" t="str">
        <f t="shared" ref="M2:M21" si="5">IF(L2&gt;=3,"High",IF(L2&gt;=1,"Moderate","Low"))</f>
        <v>High</v>
      </c>
      <c r="N2">
        <v>27.095516569200772</v>
      </c>
      <c r="O2" t="str">
        <f t="shared" ref="O2:O21" si="6">IF(N2&gt;=3,"High",IF(N2&gt;=1,"Moderate","Low"))</f>
        <v>High</v>
      </c>
      <c r="P2">
        <v>19.543592744294912</v>
      </c>
      <c r="Q2" t="str">
        <f t="shared" ref="Q2:Q21" si="7">IF(P2&gt;=3,"High",IF(P2&gt;=1,"Moderate","Low"))</f>
        <v>High</v>
      </c>
      <c r="R2">
        <v>7.4318744838976061</v>
      </c>
      <c r="S2" t="str">
        <f t="shared" ref="S2:S21" si="8">IF(R2&gt;=3,"High",IF(R2&gt;=1,"Moderate","Low"))</f>
        <v>High</v>
      </c>
      <c r="T2">
        <v>16.314779270633398</v>
      </c>
      <c r="U2" t="str">
        <f t="shared" ref="U2:U21" si="9">IF(T2&gt;=3,"High",IF(T2&gt;=1,"Moderate","Low"))</f>
        <v>High</v>
      </c>
      <c r="V2">
        <v>3.3255542590431668</v>
      </c>
      <c r="W2" t="str">
        <f t="shared" ref="W2:W21" si="10">IF(V2&gt;=3,"High",IF(V2&gt;=1,"Moderate","Low"))</f>
        <v>High</v>
      </c>
      <c r="X2">
        <v>3.97</v>
      </c>
      <c r="Y2" t="str">
        <f t="shared" ref="Y2:Y21" si="11">IF(X2&gt;=3,"High",IF(X2&gt;=1,"Moderate","Low"))</f>
        <v>High</v>
      </c>
    </row>
    <row r="3" spans="1:25">
      <c r="A3" s="2">
        <v>45323</v>
      </c>
      <c r="B3">
        <v>7.6527698458024025</v>
      </c>
      <c r="C3" t="str">
        <f t="shared" si="0"/>
        <v>High</v>
      </c>
      <c r="D3">
        <v>5.1616015436565306</v>
      </c>
      <c r="E3" t="str">
        <f t="shared" si="1"/>
        <v>High</v>
      </c>
      <c r="F3">
        <v>10.692853246044731</v>
      </c>
      <c r="G3" t="str">
        <f t="shared" si="2"/>
        <v>High</v>
      </c>
      <c r="H3">
        <v>3.8592508513053416</v>
      </c>
      <c r="I3" t="str">
        <f t="shared" si="3"/>
        <v>High</v>
      </c>
      <c r="J3">
        <v>-13.967391304347821</v>
      </c>
      <c r="K3" t="str">
        <f t="shared" si="4"/>
        <v>Low</v>
      </c>
      <c r="L3">
        <v>4.8318042813455691</v>
      </c>
      <c r="M3" t="str">
        <f t="shared" si="5"/>
        <v>High</v>
      </c>
      <c r="N3">
        <v>30.246502331778817</v>
      </c>
      <c r="O3" t="str">
        <f t="shared" si="6"/>
        <v>High</v>
      </c>
      <c r="P3">
        <v>18.896713615023465</v>
      </c>
      <c r="Q3" t="str">
        <f t="shared" si="7"/>
        <v>High</v>
      </c>
      <c r="R3">
        <v>7.4750830564784039</v>
      </c>
      <c r="S3" t="str">
        <f t="shared" si="8"/>
        <v>High</v>
      </c>
      <c r="T3">
        <v>13.508353221957044</v>
      </c>
      <c r="U3" t="str">
        <f t="shared" si="9"/>
        <v>High</v>
      </c>
      <c r="V3">
        <v>3.025014543339144</v>
      </c>
      <c r="W3" t="str">
        <f t="shared" si="10"/>
        <v>High</v>
      </c>
      <c r="X3">
        <v>3.7460978147762836</v>
      </c>
      <c r="Y3" t="str">
        <f t="shared" si="11"/>
        <v>High</v>
      </c>
    </row>
    <row r="4" spans="1:25">
      <c r="A4" s="2">
        <v>45352</v>
      </c>
      <c r="B4">
        <v>8.3715596330275197</v>
      </c>
      <c r="C4" t="str">
        <f t="shared" si="0"/>
        <v>High</v>
      </c>
      <c r="D4">
        <v>6.4034665382763656</v>
      </c>
      <c r="E4" t="str">
        <f t="shared" si="1"/>
        <v>High</v>
      </c>
      <c r="F4">
        <v>10.331050228310517</v>
      </c>
      <c r="G4" t="str">
        <f t="shared" si="2"/>
        <v>High</v>
      </c>
      <c r="H4">
        <v>3.3840947546531304</v>
      </c>
      <c r="I4" t="str">
        <f t="shared" si="3"/>
        <v>High</v>
      </c>
      <c r="J4">
        <v>-11.718750000000002</v>
      </c>
      <c r="K4" t="str">
        <f t="shared" si="4"/>
        <v>Low</v>
      </c>
      <c r="L4">
        <v>3.0088495575221206</v>
      </c>
      <c r="M4" t="str">
        <f t="shared" si="5"/>
        <v>High</v>
      </c>
      <c r="N4">
        <v>28.337696335078522</v>
      </c>
      <c r="O4" t="str">
        <f t="shared" si="6"/>
        <v>High</v>
      </c>
      <c r="P4">
        <v>17.767387492694333</v>
      </c>
      <c r="Q4" t="str">
        <f t="shared" si="7"/>
        <v>High</v>
      </c>
      <c r="R4">
        <v>7.2499999999999911</v>
      </c>
      <c r="S4" t="str">
        <f t="shared" si="8"/>
        <v>High</v>
      </c>
      <c r="T4">
        <v>11.397234144015263</v>
      </c>
      <c r="U4" t="str">
        <f t="shared" si="9"/>
        <v>High</v>
      </c>
      <c r="V4">
        <v>2.8438769587927899</v>
      </c>
      <c r="W4" t="str">
        <f t="shared" si="10"/>
        <v>Moderate</v>
      </c>
      <c r="X4">
        <v>3.5751295336787594</v>
      </c>
      <c r="Y4" t="str">
        <f t="shared" si="11"/>
        <v>High</v>
      </c>
    </row>
    <row r="5" spans="1:25">
      <c r="A5" s="2">
        <v>45383</v>
      </c>
      <c r="B5">
        <v>8.6306098964326807</v>
      </c>
      <c r="C5" t="str">
        <f t="shared" si="0"/>
        <v>High</v>
      </c>
      <c r="D5">
        <v>8.2178690874342983</v>
      </c>
      <c r="E5" t="str">
        <f t="shared" si="1"/>
        <v>High</v>
      </c>
      <c r="F5">
        <v>7.1344339622641471</v>
      </c>
      <c r="G5" t="str">
        <f t="shared" si="2"/>
        <v>High</v>
      </c>
      <c r="H5">
        <v>2.9708520179372098</v>
      </c>
      <c r="I5" t="str">
        <f t="shared" si="3"/>
        <v>Moderate</v>
      </c>
      <c r="J5">
        <v>-9.4339622641509422</v>
      </c>
      <c r="K5" t="str">
        <f t="shared" si="4"/>
        <v>Low</v>
      </c>
      <c r="L5">
        <v>5.2183777651729937</v>
      </c>
      <c r="M5" t="str">
        <f t="shared" si="5"/>
        <v>High</v>
      </c>
      <c r="N5">
        <v>27.799227799227793</v>
      </c>
      <c r="O5" t="str">
        <f t="shared" si="6"/>
        <v>High</v>
      </c>
      <c r="P5">
        <v>16.839677047289499</v>
      </c>
      <c r="Q5" t="str">
        <f t="shared" si="7"/>
        <v>High</v>
      </c>
      <c r="R5">
        <v>6.0181368507831801</v>
      </c>
      <c r="S5" t="str">
        <f t="shared" si="8"/>
        <v>High</v>
      </c>
      <c r="T5">
        <v>7.7501174260216059</v>
      </c>
      <c r="U5" t="str">
        <f t="shared" si="9"/>
        <v>High</v>
      </c>
      <c r="V5">
        <v>2.6026604973973395</v>
      </c>
      <c r="W5" t="str">
        <f t="shared" si="10"/>
        <v>Moderate</v>
      </c>
      <c r="X5">
        <v>3.4625322997415964</v>
      </c>
      <c r="Y5" t="str">
        <f t="shared" si="11"/>
        <v>High</v>
      </c>
    </row>
    <row r="6" spans="1:25">
      <c r="A6" s="2">
        <v>45413</v>
      </c>
      <c r="B6">
        <v>8.6931491076568932</v>
      </c>
      <c r="C6" t="str">
        <f t="shared" si="0"/>
        <v>High</v>
      </c>
      <c r="D6">
        <v>7.2795146990200621</v>
      </c>
      <c r="E6" t="str">
        <f t="shared" si="1"/>
        <v>High</v>
      </c>
      <c r="F6">
        <v>7.6789838337182514</v>
      </c>
      <c r="G6" t="str">
        <f t="shared" si="2"/>
        <v>High</v>
      </c>
      <c r="H6">
        <v>2.6183844011141999</v>
      </c>
      <c r="I6" t="str">
        <f t="shared" si="3"/>
        <v>Moderate</v>
      </c>
      <c r="J6">
        <v>-6.7058823529411793</v>
      </c>
      <c r="K6" t="str">
        <f t="shared" si="4"/>
        <v>Low</v>
      </c>
      <c r="L6">
        <v>6.6782810685249716</v>
      </c>
      <c r="M6" t="str">
        <f t="shared" si="5"/>
        <v>High</v>
      </c>
      <c r="N6">
        <v>27.391304347826086</v>
      </c>
      <c r="O6" t="str">
        <f t="shared" si="6"/>
        <v>High</v>
      </c>
      <c r="P6">
        <v>17.141230068337126</v>
      </c>
      <c r="Q6" t="str">
        <f t="shared" si="7"/>
        <v>High</v>
      </c>
      <c r="R6">
        <v>5.7049714751426128</v>
      </c>
      <c r="S6" t="str">
        <f t="shared" si="8"/>
        <v>High</v>
      </c>
      <c r="T6">
        <v>4.2660550458715649</v>
      </c>
      <c r="U6" t="str">
        <f t="shared" si="9"/>
        <v>High</v>
      </c>
      <c r="V6">
        <v>2.4221453287197168</v>
      </c>
      <c r="W6" t="str">
        <f t="shared" si="10"/>
        <v>Moderate</v>
      </c>
      <c r="X6">
        <v>3.3470648815653967</v>
      </c>
      <c r="Y6" t="str">
        <f t="shared" si="11"/>
        <v>High</v>
      </c>
    </row>
    <row r="7" spans="1:25">
      <c r="A7" s="2">
        <v>45444</v>
      </c>
      <c r="B7">
        <v>8.7528604118993041</v>
      </c>
      <c r="C7" t="str">
        <f t="shared" si="0"/>
        <v>High</v>
      </c>
      <c r="D7">
        <v>5.3908355795148255</v>
      </c>
      <c r="E7" t="str">
        <f t="shared" si="1"/>
        <v>High</v>
      </c>
      <c r="F7">
        <v>4.102844638949672</v>
      </c>
      <c r="G7" t="str">
        <f t="shared" si="2"/>
        <v>High</v>
      </c>
      <c r="H7">
        <v>3.0000000000000031</v>
      </c>
      <c r="I7" t="str">
        <f t="shared" si="3"/>
        <v>High</v>
      </c>
      <c r="J7">
        <v>-2.6763990267639937</v>
      </c>
      <c r="K7" t="str">
        <f t="shared" si="4"/>
        <v>Low</v>
      </c>
      <c r="L7">
        <v>7.1511627906976809</v>
      </c>
      <c r="M7" t="str">
        <f t="shared" si="5"/>
        <v>High</v>
      </c>
      <c r="N7">
        <v>29.320817228050799</v>
      </c>
      <c r="O7" t="str">
        <f t="shared" si="6"/>
        <v>High</v>
      </c>
      <c r="P7">
        <v>16.070445789763358</v>
      </c>
      <c r="Q7" t="str">
        <f t="shared" si="7"/>
        <v>High</v>
      </c>
      <c r="R7">
        <v>5.8299595141700316</v>
      </c>
      <c r="S7" t="str">
        <f t="shared" si="8"/>
        <v>High</v>
      </c>
      <c r="T7">
        <v>2.0618556701030903</v>
      </c>
      <c r="U7" t="str">
        <f t="shared" si="9"/>
        <v>Moderate</v>
      </c>
      <c r="V7">
        <v>2.3563218390804566</v>
      </c>
      <c r="W7" t="str">
        <f t="shared" si="10"/>
        <v>Moderate</v>
      </c>
      <c r="X7">
        <v>3.4394250513346964</v>
      </c>
      <c r="Y7" t="str">
        <f t="shared" si="11"/>
        <v>High</v>
      </c>
    </row>
    <row r="8" spans="1:25">
      <c r="A8" s="2">
        <v>45474</v>
      </c>
      <c r="B8">
        <v>8.1401921989824793</v>
      </c>
      <c r="C8" t="str">
        <f t="shared" si="0"/>
        <v>High</v>
      </c>
      <c r="D8">
        <v>5.9228650137740937</v>
      </c>
      <c r="E8" t="str">
        <f t="shared" si="1"/>
        <v>High</v>
      </c>
      <c r="F8">
        <v>6.8169323804288098</v>
      </c>
      <c r="G8" t="str">
        <f t="shared" si="2"/>
        <v>High</v>
      </c>
      <c r="H8">
        <v>3.0470914127423825</v>
      </c>
      <c r="I8" t="str">
        <f t="shared" si="3"/>
        <v>High</v>
      </c>
      <c r="J8">
        <v>-1.1049723756906147</v>
      </c>
      <c r="K8" t="str">
        <f t="shared" si="4"/>
        <v>Low</v>
      </c>
      <c r="L8">
        <v>3.8418708240534554</v>
      </c>
      <c r="M8" t="str">
        <f t="shared" si="5"/>
        <v>High</v>
      </c>
      <c r="N8">
        <v>6.8345323741007284</v>
      </c>
      <c r="O8" t="str">
        <f t="shared" si="6"/>
        <v>High</v>
      </c>
      <c r="P8">
        <v>14.769065520945221</v>
      </c>
      <c r="Q8" t="str">
        <f t="shared" si="7"/>
        <v>High</v>
      </c>
      <c r="R8">
        <v>5.2208835341365463</v>
      </c>
      <c r="S8" t="str">
        <f t="shared" si="8"/>
        <v>High</v>
      </c>
      <c r="T8">
        <v>-1.427335640138401</v>
      </c>
      <c r="U8" t="str">
        <f t="shared" si="9"/>
        <v>Low</v>
      </c>
      <c r="V8">
        <v>2.2349570200573101</v>
      </c>
      <c r="W8" t="str">
        <f t="shared" si="10"/>
        <v>Moderate</v>
      </c>
      <c r="X8">
        <v>3.4818228366615376</v>
      </c>
      <c r="Y8" t="str">
        <f t="shared" si="11"/>
        <v>High</v>
      </c>
    </row>
    <row r="9" spans="1:25">
      <c r="A9" s="2">
        <v>45505</v>
      </c>
      <c r="B9">
        <v>7.3061907417735608</v>
      </c>
      <c r="C9" t="str">
        <f t="shared" si="0"/>
        <v>High</v>
      </c>
      <c r="D9">
        <v>4.2970574497898264</v>
      </c>
      <c r="E9" t="str">
        <f t="shared" si="1"/>
        <v>High</v>
      </c>
      <c r="F9">
        <v>7.0821529745042495</v>
      </c>
      <c r="G9" t="str">
        <f t="shared" si="2"/>
        <v>High</v>
      </c>
      <c r="H9">
        <v>2.9249448123620376</v>
      </c>
      <c r="I9" t="str">
        <f t="shared" si="3"/>
        <v>Moderate</v>
      </c>
      <c r="J9">
        <v>-0.85942295887047626</v>
      </c>
      <c r="K9" t="str">
        <f t="shared" si="4"/>
        <v>Low</v>
      </c>
      <c r="L9">
        <v>6.4516129032258034</v>
      </c>
      <c r="M9" t="str">
        <f t="shared" si="5"/>
        <v>High</v>
      </c>
      <c r="N9">
        <v>10.747663551401862</v>
      </c>
      <c r="O9" t="str">
        <f t="shared" si="6"/>
        <v>High</v>
      </c>
      <c r="P9">
        <v>13.597883597883593</v>
      </c>
      <c r="Q9" t="str">
        <f t="shared" si="7"/>
        <v>High</v>
      </c>
      <c r="R9">
        <v>4.7011952191235107</v>
      </c>
      <c r="S9" t="str">
        <f t="shared" si="8"/>
        <v>High</v>
      </c>
      <c r="T9">
        <v>-4.3605870020964383</v>
      </c>
      <c r="U9" t="str">
        <f t="shared" si="9"/>
        <v>Low</v>
      </c>
      <c r="V9">
        <v>2.3999999999999932</v>
      </c>
      <c r="W9" t="str">
        <f t="shared" si="10"/>
        <v>Moderate</v>
      </c>
      <c r="X9">
        <v>3.4658511722731968</v>
      </c>
      <c r="Y9" t="str">
        <f t="shared" si="11"/>
        <v>High</v>
      </c>
    </row>
    <row r="10" spans="1:25">
      <c r="A10" s="2">
        <v>45536</v>
      </c>
      <c r="B10">
        <v>6.8357221609702341</v>
      </c>
      <c r="C10" t="str">
        <f t="shared" si="0"/>
        <v>High</v>
      </c>
      <c r="D10">
        <v>2.6182820395039124</v>
      </c>
      <c r="E10" t="str">
        <f t="shared" si="1"/>
        <v>Moderate</v>
      </c>
      <c r="F10">
        <v>6.3641394576646375</v>
      </c>
      <c r="G10" t="str">
        <f t="shared" si="2"/>
        <v>High</v>
      </c>
      <c r="H10">
        <v>3.0303030303030303</v>
      </c>
      <c r="I10" t="str">
        <f t="shared" si="3"/>
        <v>High</v>
      </c>
      <c r="J10">
        <v>2.5277435265104948</v>
      </c>
      <c r="K10" t="str">
        <f t="shared" si="4"/>
        <v>Moderate</v>
      </c>
      <c r="L10">
        <v>7.6490438695163077</v>
      </c>
      <c r="M10" t="str">
        <f t="shared" si="5"/>
        <v>High</v>
      </c>
      <c r="N10">
        <v>36.03830645161289</v>
      </c>
      <c r="O10" t="str">
        <f t="shared" si="6"/>
        <v>High</v>
      </c>
      <c r="P10">
        <v>9.8118962887646219</v>
      </c>
      <c r="Q10" t="str">
        <f t="shared" si="7"/>
        <v>High</v>
      </c>
      <c r="R10">
        <v>3.4591194968553389</v>
      </c>
      <c r="S10" t="str">
        <f t="shared" si="8"/>
        <v>High</v>
      </c>
      <c r="T10">
        <v>-6.1342116097159343</v>
      </c>
      <c r="U10" t="str">
        <f t="shared" si="9"/>
        <v>Low</v>
      </c>
      <c r="V10">
        <v>2.565564424173318</v>
      </c>
      <c r="W10" t="str">
        <f t="shared" si="10"/>
        <v>Moderate</v>
      </c>
      <c r="X10">
        <v>3.5587188612099649</v>
      </c>
      <c r="Y10" t="str">
        <f t="shared" si="11"/>
        <v>High</v>
      </c>
    </row>
    <row r="11" spans="1:25">
      <c r="A11" s="2">
        <v>45566</v>
      </c>
      <c r="B11">
        <v>6.9436850738108191</v>
      </c>
      <c r="C11" t="str">
        <f t="shared" si="0"/>
        <v>High</v>
      </c>
      <c r="D11">
        <v>3.1680440771349758</v>
      </c>
      <c r="E11" t="str">
        <f t="shared" si="1"/>
        <v>High</v>
      </c>
      <c r="F11">
        <v>4.9250535331905718</v>
      </c>
      <c r="G11" t="str">
        <f t="shared" si="2"/>
        <v>High</v>
      </c>
      <c r="H11">
        <v>2.9686641011544834</v>
      </c>
      <c r="I11" t="str">
        <f t="shared" si="3"/>
        <v>Moderate</v>
      </c>
      <c r="J11">
        <v>9.571162212554384</v>
      </c>
      <c r="K11" t="str">
        <f t="shared" si="4"/>
        <v>High</v>
      </c>
      <c r="L11">
        <v>8.4310441094360655</v>
      </c>
      <c r="M11" t="str">
        <f t="shared" si="5"/>
        <v>High</v>
      </c>
      <c r="N11">
        <v>42.230881636629313</v>
      </c>
      <c r="O11" t="str">
        <f t="shared" si="6"/>
        <v>High</v>
      </c>
      <c r="P11">
        <v>7.3835480673934475</v>
      </c>
      <c r="Q11" t="str">
        <f t="shared" si="7"/>
        <v>High</v>
      </c>
      <c r="R11">
        <v>2.5660964230171159</v>
      </c>
      <c r="S11" t="str">
        <f t="shared" si="8"/>
        <v>Moderate</v>
      </c>
      <c r="T11">
        <v>-7.0118222584590368</v>
      </c>
      <c r="U11" t="str">
        <f t="shared" si="9"/>
        <v>Low</v>
      </c>
      <c r="V11">
        <v>2.6719727117680434</v>
      </c>
      <c r="W11" t="str">
        <f t="shared" si="10"/>
        <v>Moderate</v>
      </c>
      <c r="X11">
        <v>3.7018255578093364</v>
      </c>
      <c r="Y11" t="str">
        <f t="shared" si="11"/>
        <v>High</v>
      </c>
    </row>
    <row r="12" spans="1:25">
      <c r="A12" s="2">
        <v>45597</v>
      </c>
      <c r="B12">
        <v>6.8797399783315365</v>
      </c>
      <c r="C12" t="str">
        <f t="shared" si="0"/>
        <v>High</v>
      </c>
      <c r="D12">
        <v>4.6728971962616823</v>
      </c>
      <c r="E12" t="str">
        <f t="shared" si="1"/>
        <v>High</v>
      </c>
      <c r="F12">
        <v>4.8412285268089601</v>
      </c>
      <c r="G12" t="str">
        <f t="shared" si="2"/>
        <v>High</v>
      </c>
      <c r="H12">
        <v>2.8540065861690547</v>
      </c>
      <c r="I12" t="str">
        <f t="shared" si="3"/>
        <v>Moderate</v>
      </c>
      <c r="J12">
        <v>13.2793017456359</v>
      </c>
      <c r="K12" t="str">
        <f t="shared" si="4"/>
        <v>High</v>
      </c>
      <c r="L12">
        <v>7.6793721973094105</v>
      </c>
      <c r="M12" t="str">
        <f t="shared" si="5"/>
        <v>High</v>
      </c>
      <c r="N12">
        <v>29.373549883990723</v>
      </c>
      <c r="O12" t="str">
        <f t="shared" si="6"/>
        <v>High</v>
      </c>
      <c r="P12">
        <v>5.4119941491955119</v>
      </c>
      <c r="Q12" t="str">
        <f t="shared" si="7"/>
        <v>High</v>
      </c>
      <c r="R12">
        <v>1.3066871637202282</v>
      </c>
      <c r="S12" t="str">
        <f t="shared" si="8"/>
        <v>Moderate</v>
      </c>
      <c r="T12">
        <v>-7.4269480519480569</v>
      </c>
      <c r="U12" t="str">
        <f t="shared" si="9"/>
        <v>Low</v>
      </c>
      <c r="V12">
        <v>2.7195467422096384</v>
      </c>
      <c r="W12" t="str">
        <f t="shared" si="10"/>
        <v>Moderate</v>
      </c>
      <c r="X12">
        <v>3.9493670886076004</v>
      </c>
      <c r="Y12" t="str">
        <f t="shared" si="11"/>
        <v>High</v>
      </c>
    </row>
    <row r="13" spans="1:25">
      <c r="A13" s="2">
        <v>45627</v>
      </c>
      <c r="B13">
        <v>6.5053763440860184</v>
      </c>
      <c r="C13" t="str">
        <f t="shared" si="0"/>
        <v>High</v>
      </c>
      <c r="D13">
        <v>5.3005205868433451</v>
      </c>
      <c r="E13" t="str">
        <f t="shared" si="1"/>
        <v>High</v>
      </c>
      <c r="F13">
        <v>6.8513853904282094</v>
      </c>
      <c r="G13" t="str">
        <f t="shared" si="2"/>
        <v>High</v>
      </c>
      <c r="H13">
        <v>2.7960526315789442</v>
      </c>
      <c r="I13" t="str">
        <f t="shared" si="3"/>
        <v>Moderate</v>
      </c>
      <c r="J13">
        <v>14.597629444791002</v>
      </c>
      <c r="K13" t="str">
        <f t="shared" si="4"/>
        <v>High</v>
      </c>
      <c r="L13">
        <v>8.6039886039886007</v>
      </c>
      <c r="M13" t="str">
        <f t="shared" si="5"/>
        <v>High</v>
      </c>
      <c r="N13">
        <v>26.555609995100447</v>
      </c>
      <c r="O13" t="str">
        <f t="shared" si="6"/>
        <v>High</v>
      </c>
      <c r="P13">
        <v>3.8312318137730386</v>
      </c>
      <c r="Q13" t="str">
        <f t="shared" si="7"/>
        <v>High</v>
      </c>
      <c r="R13">
        <v>0.22970903522206076</v>
      </c>
      <c r="S13" t="str">
        <f t="shared" si="8"/>
        <v>Low</v>
      </c>
      <c r="T13">
        <v>-7.4104234527687245</v>
      </c>
      <c r="U13" t="str">
        <f t="shared" si="9"/>
        <v>Low</v>
      </c>
      <c r="V13">
        <v>2.9994340690435837</v>
      </c>
      <c r="W13" t="str">
        <f t="shared" si="10"/>
        <v>Moderate</v>
      </c>
      <c r="X13">
        <v>4.0383644623927308</v>
      </c>
      <c r="Y13" t="str">
        <f t="shared" si="11"/>
        <v>High</v>
      </c>
    </row>
    <row r="14" spans="1:25">
      <c r="A14" s="2">
        <v>45658</v>
      </c>
      <c r="B14">
        <v>6.243329775880464</v>
      </c>
      <c r="C14" t="str">
        <f t="shared" si="0"/>
        <v>High</v>
      </c>
      <c r="D14">
        <v>5.2532833020637977</v>
      </c>
      <c r="E14" t="str">
        <f t="shared" si="1"/>
        <v>High</v>
      </c>
      <c r="F14">
        <v>1.2664393570384773</v>
      </c>
      <c r="G14" t="str">
        <f t="shared" si="2"/>
        <v>Moderate</v>
      </c>
      <c r="H14">
        <v>2.8461959496442351</v>
      </c>
      <c r="I14" t="str">
        <f t="shared" si="3"/>
        <v>Moderate</v>
      </c>
      <c r="J14">
        <v>15.640703517587944</v>
      </c>
      <c r="K14" t="str">
        <f t="shared" si="4"/>
        <v>High</v>
      </c>
      <c r="L14">
        <v>12.158231529959282</v>
      </c>
      <c r="M14" t="str">
        <f t="shared" si="5"/>
        <v>High</v>
      </c>
      <c r="N14">
        <v>11.349693251533752</v>
      </c>
      <c r="O14" t="str">
        <f t="shared" si="6"/>
        <v>High</v>
      </c>
      <c r="P14">
        <v>2.5452765540871209</v>
      </c>
      <c r="Q14" t="str">
        <f t="shared" si="7"/>
        <v>Moderate</v>
      </c>
      <c r="R14">
        <v>0.3074558032282903</v>
      </c>
      <c r="S14" t="str">
        <f t="shared" si="8"/>
        <v>Low</v>
      </c>
      <c r="T14">
        <v>-6.8481848184818448</v>
      </c>
      <c r="U14" t="str">
        <f t="shared" si="9"/>
        <v>Low</v>
      </c>
      <c r="V14">
        <v>3.3879164313946921</v>
      </c>
      <c r="W14" t="str">
        <f t="shared" si="10"/>
        <v>High</v>
      </c>
      <c r="X14">
        <v>4.0744466800804799</v>
      </c>
      <c r="Y14" t="str">
        <f t="shared" si="11"/>
        <v>High</v>
      </c>
    </row>
    <row r="15" spans="1:25">
      <c r="A15" s="2">
        <v>45689</v>
      </c>
      <c r="B15">
        <v>6.1007957559681696</v>
      </c>
      <c r="C15" t="str">
        <f t="shared" si="0"/>
        <v>High</v>
      </c>
      <c r="D15">
        <v>2.1100917431192636</v>
      </c>
      <c r="E15" t="str">
        <f t="shared" si="1"/>
        <v>Moderate</v>
      </c>
      <c r="F15">
        <v>-2.9571217348447512</v>
      </c>
      <c r="G15" t="str">
        <f t="shared" si="2"/>
        <v>Low</v>
      </c>
      <c r="H15">
        <v>2.677595628415304</v>
      </c>
      <c r="I15" t="str">
        <f t="shared" si="3"/>
        <v>Moderate</v>
      </c>
      <c r="J15">
        <v>16.361339229311419</v>
      </c>
      <c r="K15" t="str">
        <f t="shared" si="4"/>
        <v>High</v>
      </c>
      <c r="L15">
        <v>14.819136522753794</v>
      </c>
      <c r="M15" t="str">
        <f t="shared" si="5"/>
        <v>High</v>
      </c>
      <c r="N15">
        <v>-1.1253196930946234</v>
      </c>
      <c r="O15" t="str">
        <f t="shared" si="6"/>
        <v>Low</v>
      </c>
      <c r="P15">
        <v>-0.34550839091805957</v>
      </c>
      <c r="Q15" t="str">
        <f t="shared" si="7"/>
        <v>Low</v>
      </c>
      <c r="R15">
        <v>2.1638330757341442</v>
      </c>
      <c r="S15" t="str">
        <f t="shared" si="8"/>
        <v>Moderate</v>
      </c>
      <c r="T15">
        <v>-5.8452481076534921</v>
      </c>
      <c r="U15" t="str">
        <f t="shared" si="9"/>
        <v>Low</v>
      </c>
      <c r="V15">
        <v>3.7267080745341583</v>
      </c>
      <c r="W15" t="str">
        <f t="shared" si="10"/>
        <v>High</v>
      </c>
      <c r="X15">
        <v>4.2126379137412258</v>
      </c>
      <c r="Y15" t="str">
        <f t="shared" si="11"/>
        <v>High</v>
      </c>
    </row>
    <row r="16" spans="1:25">
      <c r="A16" s="2">
        <v>45717</v>
      </c>
      <c r="B16">
        <v>5.9259259259259203</v>
      </c>
      <c r="C16" t="str">
        <f t="shared" si="0"/>
        <v>High</v>
      </c>
      <c r="D16">
        <v>0.31674208144795862</v>
      </c>
      <c r="E16" t="str">
        <f t="shared" si="1"/>
        <v>Low</v>
      </c>
      <c r="F16">
        <v>-3.1039834454216244</v>
      </c>
      <c r="G16" t="str">
        <f t="shared" si="2"/>
        <v>Low</v>
      </c>
      <c r="H16">
        <v>2.6186579378068644</v>
      </c>
      <c r="I16" t="str">
        <f t="shared" si="3"/>
        <v>Moderate</v>
      </c>
      <c r="J16">
        <v>17.06700379266751</v>
      </c>
      <c r="K16" t="str">
        <f t="shared" si="4"/>
        <v>High</v>
      </c>
      <c r="L16">
        <v>16.265750286368846</v>
      </c>
      <c r="M16" t="str">
        <f t="shared" si="5"/>
        <v>High</v>
      </c>
      <c r="N16">
        <v>-7.0372259051504251</v>
      </c>
      <c r="O16" t="str">
        <f t="shared" si="6"/>
        <v>Low</v>
      </c>
      <c r="P16">
        <v>-2.7295285359801489</v>
      </c>
      <c r="Q16" t="str">
        <f t="shared" si="7"/>
        <v>Low</v>
      </c>
      <c r="R16">
        <v>3.8850038850038855</v>
      </c>
      <c r="S16" t="str">
        <f t="shared" si="8"/>
        <v>High</v>
      </c>
      <c r="T16">
        <v>-4.9229452054794525</v>
      </c>
      <c r="U16" t="str">
        <f t="shared" si="9"/>
        <v>Low</v>
      </c>
      <c r="V16">
        <v>4.0632054176072332</v>
      </c>
      <c r="W16" t="str">
        <f t="shared" si="10"/>
        <v>High</v>
      </c>
      <c r="X16">
        <v>4.3021510755377665</v>
      </c>
      <c r="Y16" t="str">
        <f t="shared" si="11"/>
        <v>High</v>
      </c>
    </row>
    <row r="17" spans="1:25">
      <c r="A17" s="2">
        <v>45748</v>
      </c>
      <c r="B17">
        <v>5.3495762711864376</v>
      </c>
      <c r="C17" t="str">
        <f t="shared" si="0"/>
        <v>High</v>
      </c>
      <c r="D17">
        <v>-0.35320088300221253</v>
      </c>
      <c r="E17" t="str">
        <f t="shared" si="1"/>
        <v>Low</v>
      </c>
      <c r="F17">
        <v>0.82553659878921293</v>
      </c>
      <c r="G17" t="str">
        <f t="shared" si="2"/>
        <v>Low</v>
      </c>
      <c r="H17">
        <v>2.7218290691344587</v>
      </c>
      <c r="I17" t="str">
        <f t="shared" si="3"/>
        <v>Moderate</v>
      </c>
      <c r="J17">
        <v>17.424242424242419</v>
      </c>
      <c r="K17" t="str">
        <f t="shared" si="4"/>
        <v>High</v>
      </c>
      <c r="L17">
        <v>13.908355795148253</v>
      </c>
      <c r="M17" t="str">
        <f t="shared" si="5"/>
        <v>High</v>
      </c>
      <c r="N17">
        <v>-10.97683786505538</v>
      </c>
      <c r="O17" t="str">
        <f t="shared" si="6"/>
        <v>Low</v>
      </c>
      <c r="P17">
        <v>-5.231984205330698</v>
      </c>
      <c r="Q17" t="str">
        <f t="shared" si="7"/>
        <v>Low</v>
      </c>
      <c r="R17">
        <v>4.5878693623639233</v>
      </c>
      <c r="S17" t="str">
        <f t="shared" si="8"/>
        <v>High</v>
      </c>
      <c r="T17">
        <v>-3.443766346992156</v>
      </c>
      <c r="U17" t="str">
        <f t="shared" si="9"/>
        <v>Low</v>
      </c>
      <c r="V17">
        <v>4.3968432919954807</v>
      </c>
      <c r="W17" t="str">
        <f t="shared" si="10"/>
        <v>High</v>
      </c>
      <c r="X17">
        <v>4.445554445554448</v>
      </c>
      <c r="Y17" t="str">
        <f t="shared" si="11"/>
        <v>High</v>
      </c>
    </row>
    <row r="18" spans="1:25">
      <c r="A18" s="2">
        <v>45778</v>
      </c>
      <c r="B18">
        <v>4.7669491525423728</v>
      </c>
      <c r="C18" t="str">
        <f t="shared" si="0"/>
        <v>High</v>
      </c>
      <c r="D18">
        <v>-0.43497172683775559</v>
      </c>
      <c r="E18" t="str">
        <f t="shared" si="1"/>
        <v>Low</v>
      </c>
      <c r="F18">
        <v>0.64343163538873382</v>
      </c>
      <c r="G18" t="str">
        <f t="shared" si="2"/>
        <v>Low</v>
      </c>
      <c r="H18">
        <v>3.1487513572204189</v>
      </c>
      <c r="I18" t="str">
        <f t="shared" si="3"/>
        <v>High</v>
      </c>
      <c r="J18">
        <v>17.906683480453978</v>
      </c>
      <c r="K18" t="str">
        <f t="shared" si="4"/>
        <v>High</v>
      </c>
      <c r="L18">
        <v>12.738160043549268</v>
      </c>
      <c r="M18" t="str">
        <f t="shared" si="5"/>
        <v>High</v>
      </c>
      <c r="N18">
        <v>-13.700633837152607</v>
      </c>
      <c r="O18" t="str">
        <f t="shared" si="6"/>
        <v>Low</v>
      </c>
      <c r="P18">
        <v>-8.2158483228001842</v>
      </c>
      <c r="Q18" t="str">
        <f t="shared" si="7"/>
        <v>Low</v>
      </c>
      <c r="R18">
        <v>4.1634541249036285</v>
      </c>
      <c r="S18" t="str">
        <f t="shared" si="8"/>
        <v>High</v>
      </c>
      <c r="T18">
        <v>-2.7716673999120154</v>
      </c>
      <c r="U18" t="str">
        <f t="shared" si="9"/>
        <v>Low</v>
      </c>
      <c r="V18">
        <v>4.5608108108108079</v>
      </c>
      <c r="W18" t="str">
        <f t="shared" si="10"/>
        <v>High</v>
      </c>
      <c r="X18">
        <v>4.384653712007978</v>
      </c>
      <c r="Y18" t="str">
        <f t="shared" si="11"/>
        <v>High</v>
      </c>
    </row>
    <row r="19" spans="1:25">
      <c r="A19" s="2">
        <v>45809</v>
      </c>
      <c r="B19">
        <v>3.7348763808521803</v>
      </c>
      <c r="C19" t="str">
        <f t="shared" si="0"/>
        <v>High</v>
      </c>
      <c r="D19">
        <v>-1.6197783461210498</v>
      </c>
      <c r="E19" t="str">
        <f t="shared" si="1"/>
        <v>Low</v>
      </c>
      <c r="F19">
        <v>2.5748817656331986</v>
      </c>
      <c r="G19" t="str">
        <f t="shared" si="2"/>
        <v>Moderate</v>
      </c>
      <c r="H19">
        <v>2.8047464940668765</v>
      </c>
      <c r="I19" t="str">
        <f t="shared" si="3"/>
        <v>Moderate</v>
      </c>
      <c r="J19">
        <v>17.750000000000004</v>
      </c>
      <c r="K19" t="str">
        <f t="shared" si="4"/>
        <v>High</v>
      </c>
      <c r="L19">
        <v>12.642430819316322</v>
      </c>
      <c r="M19" t="str">
        <f t="shared" si="5"/>
        <v>High</v>
      </c>
      <c r="N19">
        <v>-18.915456874466262</v>
      </c>
      <c r="O19" t="str">
        <f t="shared" si="6"/>
        <v>Low</v>
      </c>
      <c r="P19">
        <v>-11.759127548601239</v>
      </c>
      <c r="Q19" t="str">
        <f t="shared" si="7"/>
        <v>Low</v>
      </c>
      <c r="R19">
        <v>3.5195103289977223</v>
      </c>
      <c r="S19" t="str">
        <f t="shared" si="8"/>
        <v>High</v>
      </c>
      <c r="T19">
        <v>-3.0303030303030205</v>
      </c>
      <c r="U19" t="str">
        <f t="shared" si="9"/>
        <v>Low</v>
      </c>
      <c r="V19">
        <v>4.3234138124649171</v>
      </c>
      <c r="W19" t="str">
        <f t="shared" si="10"/>
        <v>High</v>
      </c>
      <c r="X19">
        <v>4.3176178660049569</v>
      </c>
      <c r="Y19" t="str">
        <f t="shared" si="11"/>
        <v>High</v>
      </c>
    </row>
    <row r="20" spans="1:25">
      <c r="A20" s="2">
        <v>45839</v>
      </c>
      <c r="B20">
        <v>3.0318870883429079</v>
      </c>
      <c r="C20" t="str">
        <f t="shared" si="0"/>
        <v>High</v>
      </c>
      <c r="D20">
        <v>-0.60684872128304179</v>
      </c>
      <c r="E20" t="str">
        <f t="shared" si="1"/>
        <v>Low</v>
      </c>
      <c r="F20">
        <v>2.2130725681935064</v>
      </c>
      <c r="G20" t="str">
        <f t="shared" si="2"/>
        <v>Moderate</v>
      </c>
      <c r="H20">
        <v>2.6881720430107525</v>
      </c>
      <c r="I20" t="str">
        <f t="shared" si="3"/>
        <v>Moderate</v>
      </c>
      <c r="J20">
        <v>19.242706393544385</v>
      </c>
      <c r="K20" t="str">
        <f t="shared" si="4"/>
        <v>High</v>
      </c>
      <c r="L20">
        <v>14.47721179624665</v>
      </c>
      <c r="M20" t="str">
        <f t="shared" si="5"/>
        <v>High</v>
      </c>
      <c r="N20">
        <v>-20.650953984287323</v>
      </c>
      <c r="O20" t="str">
        <f t="shared" si="6"/>
        <v>Low</v>
      </c>
      <c r="P20">
        <v>-13.757604117922313</v>
      </c>
      <c r="Q20" t="str">
        <f t="shared" si="7"/>
        <v>Low</v>
      </c>
      <c r="R20">
        <v>3.2824427480916114</v>
      </c>
      <c r="S20" t="str">
        <f t="shared" si="8"/>
        <v>High</v>
      </c>
      <c r="T20">
        <v>-3.1154014918824022</v>
      </c>
      <c r="U20" t="str">
        <f t="shared" si="9"/>
        <v>Low</v>
      </c>
      <c r="V20">
        <v>4.5964125560538047</v>
      </c>
      <c r="W20" t="str">
        <f t="shared" si="10"/>
        <v>High</v>
      </c>
      <c r="X20">
        <v>4.4037605145967369</v>
      </c>
      <c r="Y20" t="str">
        <f t="shared" si="11"/>
        <v>High</v>
      </c>
    </row>
    <row r="21" spans="1:25">
      <c r="A21" s="2">
        <v>45870</v>
      </c>
      <c r="B21">
        <v>2.7027027027026964</v>
      </c>
      <c r="C21" t="str">
        <f t="shared" si="0"/>
        <v>Moderate</v>
      </c>
      <c r="D21">
        <v>1.4778325123152631</v>
      </c>
      <c r="E21" t="str">
        <f t="shared" si="1"/>
        <v>Moderate</v>
      </c>
      <c r="F21">
        <v>3.1216931216931245</v>
      </c>
      <c r="G21" t="str">
        <f t="shared" si="2"/>
        <v>High</v>
      </c>
      <c r="H21">
        <v>2.6273458445040245</v>
      </c>
      <c r="I21" t="str">
        <f t="shared" si="3"/>
        <v>Moderate</v>
      </c>
      <c r="J21">
        <v>21.238390092879264</v>
      </c>
      <c r="K21" t="str">
        <f t="shared" si="4"/>
        <v>High</v>
      </c>
      <c r="L21">
        <v>11.650992685475435</v>
      </c>
      <c r="M21" t="str">
        <f t="shared" si="5"/>
        <v>High</v>
      </c>
      <c r="N21">
        <v>-15.918680475642502</v>
      </c>
      <c r="O21" t="str">
        <f t="shared" si="6"/>
        <v>Low</v>
      </c>
      <c r="P21">
        <v>-14.53190498369818</v>
      </c>
      <c r="Q21" t="str">
        <f t="shared" si="7"/>
        <v>Low</v>
      </c>
      <c r="R21">
        <v>3.7290715372907193</v>
      </c>
      <c r="S21" t="str">
        <f t="shared" si="8"/>
        <v>High</v>
      </c>
      <c r="T21">
        <v>-3.2441911442349869</v>
      </c>
      <c r="U21" t="str">
        <f t="shared" si="9"/>
        <v>Low</v>
      </c>
      <c r="V21">
        <v>4.2968750000000098</v>
      </c>
      <c r="W21" t="str">
        <f t="shared" si="10"/>
        <v>High</v>
      </c>
      <c r="X21">
        <v>4.1871921182266005</v>
      </c>
      <c r="Y21" t="str">
        <f t="shared" si="11"/>
        <v>High</v>
      </c>
    </row>
    <row r="23" spans="1:25">
      <c r="B23">
        <f>MAX(B2:B21,D2:D21,F2:F21,H2:H21,J2:J21,L2:L21,N2:N21,P2:P21,R2:R21,T2:T21,V2:V21,X2:X21)</f>
        <v>42.230881636629313</v>
      </c>
    </row>
    <row r="24" spans="1:25">
      <c r="B24">
        <f>MIN(B2:B21,D2:D21,F2:F21,H2:H21,J2:J21,L2:L21,N2:N21,P2:P21,R2:R21,T2:T21,V2:V21,X2:X21)</f>
        <v>-20.650953984287323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F35F-10AC-4127-8357-C115ED5A0D73}">
  <dimension ref="A1:M21"/>
  <sheetViews>
    <sheetView tabSelected="1" topLeftCell="H1" workbookViewId="0">
      <selection activeCell="L1" sqref="L1"/>
    </sheetView>
  </sheetViews>
  <sheetFormatPr defaultRowHeight="14.5"/>
  <cols>
    <col min="1" max="1" width="15.26953125" customWidth="1"/>
    <col min="12" max="12" width="12.54296875" customWidth="1"/>
  </cols>
  <sheetData>
    <row r="1" spans="1:13">
      <c r="A1" t="s">
        <v>29</v>
      </c>
      <c r="B1" t="s">
        <v>20</v>
      </c>
      <c r="C1" t="s">
        <v>44</v>
      </c>
      <c r="D1" t="s">
        <v>21</v>
      </c>
      <c r="E1" t="s">
        <v>45</v>
      </c>
      <c r="F1" t="s">
        <v>22</v>
      </c>
      <c r="G1" t="s">
        <v>46</v>
      </c>
      <c r="H1" t="s">
        <v>23</v>
      </c>
      <c r="I1" t="s">
        <v>47</v>
      </c>
      <c r="J1" t="s">
        <v>24</v>
      </c>
      <c r="K1" t="s">
        <v>48</v>
      </c>
      <c r="L1" t="s">
        <v>25</v>
      </c>
      <c r="M1" t="s">
        <v>49</v>
      </c>
    </row>
    <row r="2" spans="1:13">
      <c r="A2" s="2">
        <v>45292</v>
      </c>
      <c r="B2">
        <v>3.0653556969346343</v>
      </c>
      <c r="C2" t="str">
        <f t="shared" ref="C2:C21" si="0">IF(B2&gt;=3,"High",IF(B2&gt;=1,"Moderate","Low"))</f>
        <v>High</v>
      </c>
      <c r="D2">
        <v>4.8820625342841346</v>
      </c>
      <c r="E2" t="str">
        <f t="shared" ref="E2:E21" si="1">IF(D2&gt;=3,"High",IF(D2&gt;=1,"Moderate","Low"))</f>
        <v>High</v>
      </c>
      <c r="F2">
        <v>1.9559902200489101</v>
      </c>
      <c r="G2" t="str">
        <f t="shared" ref="G2:G21" si="2">IF(F2&gt;=3,"High",IF(F2&gt;=1,"Moderate","Low"))</f>
        <v>Moderate</v>
      </c>
      <c r="H2">
        <v>2.8908554572271399</v>
      </c>
      <c r="I2" t="str">
        <f t="shared" ref="I2:I21" si="3">IF(H2&gt;=3,"High",IF(H2&gt;=1,"Moderate","Low"))</f>
        <v>Moderate</v>
      </c>
      <c r="J2">
        <v>4.934021801491677</v>
      </c>
      <c r="K2" t="str">
        <f t="shared" ref="K2:K21" si="4">IF(J2&gt;=3,"High",IF(J2&gt;=1,"Moderate","Low"))</f>
        <v>High</v>
      </c>
      <c r="L2">
        <v>5.88</v>
      </c>
      <c r="M2" t="str">
        <f t="shared" ref="M2:M21" si="5">IF(L2&gt;=3,"High",IF(L2&gt;=1,"Moderate","Low"))</f>
        <v>High</v>
      </c>
    </row>
    <row r="3" spans="1:13">
      <c r="A3" s="2">
        <v>45323</v>
      </c>
      <c r="B3">
        <v>2.8209556706966068</v>
      </c>
      <c r="C3" t="str">
        <f t="shared" si="0"/>
        <v>Moderate</v>
      </c>
      <c r="D3">
        <v>4.5256270447110047</v>
      </c>
      <c r="E3" t="str">
        <f t="shared" si="1"/>
        <v>High</v>
      </c>
      <c r="F3">
        <v>1.8292682926829267</v>
      </c>
      <c r="G3" t="str">
        <f t="shared" si="2"/>
        <v>Moderate</v>
      </c>
      <c r="H3">
        <v>2.7058823529411731</v>
      </c>
      <c r="I3" t="str">
        <f t="shared" si="3"/>
        <v>Moderate</v>
      </c>
      <c r="J3">
        <v>4.7510017172295429</v>
      </c>
      <c r="K3" t="str">
        <f t="shared" si="4"/>
        <v>High</v>
      </c>
      <c r="L3">
        <v>5.2251250694830489</v>
      </c>
      <c r="M3" t="str">
        <f t="shared" si="5"/>
        <v>High</v>
      </c>
    </row>
    <row r="4" spans="1:13">
      <c r="A4" s="2">
        <v>45352</v>
      </c>
      <c r="B4">
        <v>2.6980482204362901</v>
      </c>
      <c r="C4" t="str">
        <f t="shared" si="0"/>
        <v>Moderate</v>
      </c>
      <c r="D4">
        <v>4.2841648590021721</v>
      </c>
      <c r="E4" t="str">
        <f t="shared" si="1"/>
        <v>High</v>
      </c>
      <c r="F4">
        <v>1.5225334957369063</v>
      </c>
      <c r="G4" t="str">
        <f t="shared" si="2"/>
        <v>Moderate</v>
      </c>
      <c r="H4">
        <v>2.7598355842630586</v>
      </c>
      <c r="I4" t="str">
        <f t="shared" si="3"/>
        <v>Moderate</v>
      </c>
      <c r="J4">
        <v>4.6857142857142788</v>
      </c>
      <c r="K4" t="str">
        <f t="shared" si="4"/>
        <v>High</v>
      </c>
      <c r="L4">
        <v>6.0220994475138152</v>
      </c>
      <c r="M4" t="str">
        <f t="shared" si="5"/>
        <v>High</v>
      </c>
    </row>
    <row r="5" spans="1:13">
      <c r="A5" s="2">
        <v>45383</v>
      </c>
      <c r="B5">
        <v>2.749140893470797</v>
      </c>
      <c r="C5" t="str">
        <f t="shared" si="0"/>
        <v>Moderate</v>
      </c>
      <c r="D5">
        <v>4.2702702702702728</v>
      </c>
      <c r="E5" t="str">
        <f t="shared" si="1"/>
        <v>High</v>
      </c>
      <c r="F5">
        <v>1.0942249240121649</v>
      </c>
      <c r="G5" t="str">
        <f t="shared" si="2"/>
        <v>Moderate</v>
      </c>
      <c r="H5">
        <v>2.6362038664323375</v>
      </c>
      <c r="I5" t="str">
        <f t="shared" si="3"/>
        <v>Moderate</v>
      </c>
      <c r="J5">
        <v>4.1950113378684835</v>
      </c>
      <c r="K5" t="str">
        <f t="shared" si="4"/>
        <v>High</v>
      </c>
      <c r="L5">
        <v>7.4456521739130377</v>
      </c>
      <c r="M5" t="str">
        <f t="shared" si="5"/>
        <v>High</v>
      </c>
    </row>
    <row r="6" spans="1:13">
      <c r="A6" s="2">
        <v>45413</v>
      </c>
      <c r="B6">
        <v>2.5114155251141588</v>
      </c>
      <c r="C6" t="str">
        <f t="shared" si="0"/>
        <v>Moderate</v>
      </c>
      <c r="D6">
        <v>4.2003231017770659</v>
      </c>
      <c r="E6" t="str">
        <f t="shared" si="1"/>
        <v>High</v>
      </c>
      <c r="F6">
        <v>0.97087378640776345</v>
      </c>
      <c r="G6" t="str">
        <f t="shared" si="2"/>
        <v>Low</v>
      </c>
      <c r="H6">
        <v>2.5700934579439285</v>
      </c>
      <c r="I6" t="str">
        <f t="shared" si="3"/>
        <v>Moderate</v>
      </c>
      <c r="J6">
        <v>4.0654997176736405</v>
      </c>
      <c r="K6" t="str">
        <f t="shared" si="4"/>
        <v>High</v>
      </c>
      <c r="L6">
        <v>7.6673866090712837</v>
      </c>
      <c r="M6" t="str">
        <f t="shared" si="5"/>
        <v>High</v>
      </c>
    </row>
    <row r="7" spans="1:13">
      <c r="A7" s="2">
        <v>45444</v>
      </c>
      <c r="B7">
        <v>2.3904382470119621</v>
      </c>
      <c r="C7" t="str">
        <f t="shared" si="0"/>
        <v>Moderate</v>
      </c>
      <c r="D7">
        <v>4.1331186258722425</v>
      </c>
      <c r="E7" t="str">
        <f t="shared" si="1"/>
        <v>High</v>
      </c>
      <c r="F7">
        <v>0.96910963052694987</v>
      </c>
      <c r="G7" t="str">
        <f t="shared" si="2"/>
        <v>Low</v>
      </c>
      <c r="H7">
        <v>2.3282887077997669</v>
      </c>
      <c r="I7" t="str">
        <f t="shared" si="3"/>
        <v>Moderate</v>
      </c>
      <c r="J7">
        <v>3.5734226689000592</v>
      </c>
      <c r="K7" t="str">
        <f t="shared" si="4"/>
        <v>High</v>
      </c>
      <c r="L7">
        <v>8.2295614510016346</v>
      </c>
      <c r="M7" t="str">
        <f t="shared" si="5"/>
        <v>High</v>
      </c>
    </row>
    <row r="8" spans="1:13">
      <c r="A8" s="2">
        <v>45474</v>
      </c>
      <c r="B8">
        <v>2.3282226007949998</v>
      </c>
      <c r="C8" t="str">
        <f t="shared" si="0"/>
        <v>Moderate</v>
      </c>
      <c r="D8">
        <v>4.06417112299465</v>
      </c>
      <c r="E8" t="str">
        <f t="shared" si="1"/>
        <v>High</v>
      </c>
      <c r="F8">
        <v>2.5966183574879298</v>
      </c>
      <c r="G8" t="str">
        <f t="shared" si="2"/>
        <v>Moderate</v>
      </c>
      <c r="H8">
        <v>2.2028985507246444</v>
      </c>
      <c r="I8" t="str">
        <f t="shared" si="3"/>
        <v>Moderate</v>
      </c>
      <c r="J8">
        <v>3.537866224433392</v>
      </c>
      <c r="K8" t="str">
        <f t="shared" si="4"/>
        <v>High</v>
      </c>
      <c r="L8">
        <v>8.4415584415584366</v>
      </c>
      <c r="M8" t="str">
        <f t="shared" si="5"/>
        <v>High</v>
      </c>
    </row>
    <row r="9" spans="1:13">
      <c r="A9" s="2">
        <v>45505</v>
      </c>
      <c r="B9">
        <v>2.4348810872027244</v>
      </c>
      <c r="C9" t="str">
        <f t="shared" si="0"/>
        <v>Moderate</v>
      </c>
      <c r="D9">
        <v>4.1022908897176444</v>
      </c>
      <c r="E9" t="str">
        <f t="shared" si="1"/>
        <v>High</v>
      </c>
      <c r="F9">
        <v>2.7124773960216997</v>
      </c>
      <c r="G9" t="str">
        <f t="shared" si="2"/>
        <v>Moderate</v>
      </c>
      <c r="H9">
        <v>2.3713128976286835</v>
      </c>
      <c r="I9" t="str">
        <f t="shared" si="3"/>
        <v>Moderate</v>
      </c>
      <c r="J9">
        <v>3.8525041276829946</v>
      </c>
      <c r="K9" t="str">
        <f t="shared" si="4"/>
        <v>High</v>
      </c>
      <c r="L9">
        <v>7.9956780118854738</v>
      </c>
      <c r="M9" t="str">
        <f t="shared" si="5"/>
        <v>High</v>
      </c>
    </row>
    <row r="10" spans="1:13">
      <c r="A10" s="2">
        <v>45536</v>
      </c>
      <c r="B10">
        <v>2.5452488687782804</v>
      </c>
      <c r="C10" t="str">
        <f t="shared" si="0"/>
        <v>Moderate</v>
      </c>
      <c r="D10">
        <v>4.0892193308550127</v>
      </c>
      <c r="E10" t="str">
        <f t="shared" si="1"/>
        <v>High</v>
      </c>
      <c r="F10">
        <v>2.7108433734939759</v>
      </c>
      <c r="G10" t="str">
        <f t="shared" si="2"/>
        <v>Moderate</v>
      </c>
      <c r="H10">
        <v>2.3658395845354843</v>
      </c>
      <c r="I10" t="str">
        <f t="shared" si="3"/>
        <v>Moderate</v>
      </c>
      <c r="J10">
        <v>3.7870472008781597</v>
      </c>
      <c r="K10" t="str">
        <f t="shared" si="4"/>
        <v>High</v>
      </c>
      <c r="L10">
        <v>9.0026954177897505</v>
      </c>
      <c r="M10" t="str">
        <f t="shared" si="5"/>
        <v>High</v>
      </c>
    </row>
    <row r="11" spans="1:13">
      <c r="A11" s="2">
        <v>45566</v>
      </c>
      <c r="B11">
        <v>2.6538678712591852</v>
      </c>
      <c r="C11" t="str">
        <f t="shared" si="0"/>
        <v>Moderate</v>
      </c>
      <c r="D11">
        <v>3.9640591966173364</v>
      </c>
      <c r="E11" t="str">
        <f t="shared" si="1"/>
        <v>High</v>
      </c>
      <c r="F11">
        <v>2.7694160144491238</v>
      </c>
      <c r="G11" t="str">
        <f t="shared" si="2"/>
        <v>Moderate</v>
      </c>
      <c r="H11">
        <v>2.4179620034542415</v>
      </c>
      <c r="I11" t="str">
        <f t="shared" si="3"/>
        <v>Moderate</v>
      </c>
      <c r="J11">
        <v>3.8968166849615931</v>
      </c>
      <c r="K11" t="str">
        <f t="shared" si="4"/>
        <v>High</v>
      </c>
      <c r="L11">
        <v>10.991379310344831</v>
      </c>
      <c r="M11" t="str">
        <f t="shared" si="5"/>
        <v>High</v>
      </c>
    </row>
    <row r="12" spans="1:13">
      <c r="A12" s="2">
        <v>45597</v>
      </c>
      <c r="B12">
        <v>2.818489289740699</v>
      </c>
      <c r="C12" t="str">
        <f t="shared" si="0"/>
        <v>Moderate</v>
      </c>
      <c r="D12">
        <v>4.0063257775435019</v>
      </c>
      <c r="E12" t="str">
        <f t="shared" si="1"/>
        <v>High</v>
      </c>
      <c r="F12">
        <v>2.7043269230769229</v>
      </c>
      <c r="G12" t="str">
        <f t="shared" si="2"/>
        <v>Moderate</v>
      </c>
      <c r="H12">
        <v>2.6467203682393521</v>
      </c>
      <c r="I12" t="str">
        <f t="shared" si="3"/>
        <v>Moderate</v>
      </c>
      <c r="J12">
        <v>3.8925438596491198</v>
      </c>
      <c r="K12" t="str">
        <f t="shared" si="4"/>
        <v>High</v>
      </c>
      <c r="L12">
        <v>10.416666666666668</v>
      </c>
      <c r="M12" t="str">
        <f t="shared" si="5"/>
        <v>High</v>
      </c>
    </row>
    <row r="13" spans="1:13">
      <c r="A13" s="2">
        <v>45627</v>
      </c>
      <c r="B13">
        <v>2.8105677346824058</v>
      </c>
      <c r="C13" t="str">
        <f t="shared" si="0"/>
        <v>Moderate</v>
      </c>
      <c r="D13">
        <v>4.0462427745664682</v>
      </c>
      <c r="E13" t="str">
        <f t="shared" si="1"/>
        <v>High</v>
      </c>
      <c r="F13">
        <v>2.6410564225690312</v>
      </c>
      <c r="G13" t="str">
        <f t="shared" si="2"/>
        <v>Moderate</v>
      </c>
      <c r="H13">
        <v>2.6995979322228703</v>
      </c>
      <c r="I13" t="str">
        <f t="shared" si="3"/>
        <v>Moderate</v>
      </c>
      <c r="J13">
        <v>3.9452054794520484</v>
      </c>
      <c r="K13" t="str">
        <f t="shared" si="4"/>
        <v>High</v>
      </c>
      <c r="L13">
        <v>9.7560975609756131</v>
      </c>
      <c r="M13" t="str">
        <f t="shared" si="5"/>
        <v>High</v>
      </c>
    </row>
    <row r="14" spans="1:13">
      <c r="A14" s="2">
        <v>45658</v>
      </c>
      <c r="B14">
        <v>2.8619528619528749</v>
      </c>
      <c r="C14" t="str">
        <f t="shared" si="0"/>
        <v>Moderate</v>
      </c>
      <c r="D14">
        <v>3.974895397489552</v>
      </c>
      <c r="E14" t="str">
        <f t="shared" si="1"/>
        <v>High</v>
      </c>
      <c r="F14">
        <v>2.7577937649880058</v>
      </c>
      <c r="G14" t="str">
        <f t="shared" si="2"/>
        <v>Moderate</v>
      </c>
      <c r="H14">
        <v>2.6949541284403606</v>
      </c>
      <c r="I14" t="str">
        <f t="shared" si="3"/>
        <v>Moderate</v>
      </c>
      <c r="J14">
        <v>3.8272279934390379</v>
      </c>
      <c r="K14" t="str">
        <f t="shared" si="4"/>
        <v>High</v>
      </c>
      <c r="L14">
        <v>10.629296668429401</v>
      </c>
      <c r="M14" t="str">
        <f t="shared" si="5"/>
        <v>High</v>
      </c>
    </row>
    <row r="15" spans="1:13">
      <c r="A15" s="2">
        <v>45689</v>
      </c>
      <c r="B15">
        <v>2.7995520716685331</v>
      </c>
      <c r="C15" t="str">
        <f t="shared" si="0"/>
        <v>Moderate</v>
      </c>
      <c r="D15">
        <v>4.121022430881589</v>
      </c>
      <c r="E15" t="str">
        <f t="shared" si="1"/>
        <v>High</v>
      </c>
      <c r="F15">
        <v>2.9341317365269495</v>
      </c>
      <c r="G15" t="str">
        <f t="shared" si="2"/>
        <v>Moderate</v>
      </c>
      <c r="H15">
        <v>2.6918671248568256</v>
      </c>
      <c r="I15" t="str">
        <f t="shared" si="3"/>
        <v>Moderate</v>
      </c>
      <c r="J15">
        <v>3.8251366120218582</v>
      </c>
      <c r="K15" t="str">
        <f t="shared" si="4"/>
        <v>High</v>
      </c>
      <c r="L15">
        <v>13.629160063391431</v>
      </c>
      <c r="M15" t="str">
        <f t="shared" si="5"/>
        <v>High</v>
      </c>
    </row>
    <row r="16" spans="1:13">
      <c r="A16" s="2">
        <v>45717</v>
      </c>
      <c r="B16">
        <v>2.6830631637786375</v>
      </c>
      <c r="C16" t="str">
        <f t="shared" si="0"/>
        <v>Moderate</v>
      </c>
      <c r="D16">
        <v>4.264170566822667</v>
      </c>
      <c r="E16" t="str">
        <f t="shared" si="1"/>
        <v>High</v>
      </c>
      <c r="F16">
        <v>3.3593281343731394</v>
      </c>
      <c r="G16" t="str">
        <f t="shared" si="2"/>
        <v>High</v>
      </c>
      <c r="H16">
        <v>2.4571428571428635</v>
      </c>
      <c r="I16" t="str">
        <f t="shared" si="3"/>
        <v>Moderate</v>
      </c>
      <c r="J16">
        <v>3.9847161572052467</v>
      </c>
      <c r="K16" t="str">
        <f t="shared" si="4"/>
        <v>High</v>
      </c>
      <c r="L16">
        <v>13.496612819176656</v>
      </c>
      <c r="M16" t="str">
        <f t="shared" si="5"/>
        <v>High</v>
      </c>
    </row>
    <row r="17" spans="1:13">
      <c r="A17" s="2">
        <v>45748</v>
      </c>
      <c r="B17">
        <v>2.508361204013378</v>
      </c>
      <c r="C17" t="str">
        <f t="shared" si="0"/>
        <v>Moderate</v>
      </c>
      <c r="D17">
        <v>4.2509072058061115</v>
      </c>
      <c r="E17" t="str">
        <f t="shared" si="1"/>
        <v>High</v>
      </c>
      <c r="F17">
        <v>3.6680697534576026</v>
      </c>
      <c r="G17" t="str">
        <f t="shared" si="2"/>
        <v>High</v>
      </c>
      <c r="H17">
        <v>2.5114155251141588</v>
      </c>
      <c r="I17" t="str">
        <f t="shared" si="3"/>
        <v>Moderate</v>
      </c>
      <c r="J17">
        <v>4.1349292709466781</v>
      </c>
      <c r="K17" t="str">
        <f t="shared" si="4"/>
        <v>High</v>
      </c>
      <c r="L17">
        <v>12.9489124936773</v>
      </c>
      <c r="M17" t="str">
        <f t="shared" si="5"/>
        <v>High</v>
      </c>
    </row>
    <row r="18" spans="1:13">
      <c r="A18" s="2">
        <v>45778</v>
      </c>
      <c r="B18">
        <v>2.5055679287305126</v>
      </c>
      <c r="C18" t="str">
        <f t="shared" si="0"/>
        <v>Moderate</v>
      </c>
      <c r="D18">
        <v>4.3410852713178318</v>
      </c>
      <c r="E18" t="str">
        <f t="shared" si="1"/>
        <v>High</v>
      </c>
      <c r="F18">
        <v>3.8461538461538494</v>
      </c>
      <c r="G18" t="str">
        <f t="shared" si="2"/>
        <v>High</v>
      </c>
      <c r="H18">
        <v>2.4487471526195965</v>
      </c>
      <c r="I18" t="str">
        <f t="shared" si="3"/>
        <v>Moderate</v>
      </c>
      <c r="J18">
        <v>4.1237113402061816</v>
      </c>
      <c r="K18" t="str">
        <f t="shared" si="4"/>
        <v>High</v>
      </c>
      <c r="L18">
        <v>13.54062186559679</v>
      </c>
      <c r="M18" t="str">
        <f t="shared" si="5"/>
        <v>High</v>
      </c>
    </row>
    <row r="19" spans="1:13">
      <c r="A19" s="2">
        <v>45809</v>
      </c>
      <c r="B19">
        <v>2.5569760978321256</v>
      </c>
      <c r="C19" t="str">
        <f t="shared" si="0"/>
        <v>Moderate</v>
      </c>
      <c r="D19">
        <v>4.3814432989690717</v>
      </c>
      <c r="E19" t="str">
        <f t="shared" si="1"/>
        <v>High</v>
      </c>
      <c r="F19">
        <v>3.8992201559688064</v>
      </c>
      <c r="G19" t="str">
        <f t="shared" si="2"/>
        <v>High</v>
      </c>
      <c r="H19">
        <v>2.5028441410693838</v>
      </c>
      <c r="I19" t="str">
        <f t="shared" si="3"/>
        <v>Moderate</v>
      </c>
      <c r="J19">
        <v>4.3665768194070056</v>
      </c>
      <c r="K19" t="str">
        <f t="shared" si="4"/>
        <v>High</v>
      </c>
      <c r="L19">
        <v>14.807403701850921</v>
      </c>
      <c r="M19" t="str">
        <f t="shared" si="5"/>
        <v>High</v>
      </c>
    </row>
    <row r="20" spans="1:13">
      <c r="A20" s="2">
        <v>45839</v>
      </c>
      <c r="B20">
        <v>2.6082130965593882</v>
      </c>
      <c r="C20" t="str">
        <f t="shared" si="0"/>
        <v>Moderate</v>
      </c>
      <c r="D20">
        <v>4.573484069886951</v>
      </c>
      <c r="E20" t="str">
        <f t="shared" si="1"/>
        <v>High</v>
      </c>
      <c r="F20">
        <v>2.1188934667451407</v>
      </c>
      <c r="G20" t="str">
        <f t="shared" si="2"/>
        <v>Moderate</v>
      </c>
      <c r="H20">
        <v>2.3823028927963632</v>
      </c>
      <c r="I20" t="str">
        <f t="shared" si="3"/>
        <v>Moderate</v>
      </c>
      <c r="J20">
        <v>4.1110517885744731</v>
      </c>
      <c r="K20" t="str">
        <f t="shared" si="4"/>
        <v>High</v>
      </c>
      <c r="L20">
        <v>15.119760479041908</v>
      </c>
      <c r="M20" t="str">
        <f t="shared" si="5"/>
        <v>High</v>
      </c>
    </row>
    <row r="21" spans="1:13">
      <c r="A21" s="2">
        <v>45870</v>
      </c>
      <c r="B21">
        <v>2.5428413488114949</v>
      </c>
      <c r="C21" t="str">
        <f t="shared" si="0"/>
        <v>Moderate</v>
      </c>
      <c r="D21">
        <v>4.4012282497441113</v>
      </c>
      <c r="E21" t="str">
        <f t="shared" si="1"/>
        <v>High</v>
      </c>
      <c r="F21">
        <v>1.936619718309849</v>
      </c>
      <c r="G21" t="str">
        <f t="shared" si="2"/>
        <v>Moderate</v>
      </c>
      <c r="H21">
        <v>2.2033898305084776</v>
      </c>
      <c r="I21" t="str">
        <f t="shared" si="3"/>
        <v>Moderate</v>
      </c>
      <c r="J21">
        <v>3.6036036036036099</v>
      </c>
      <c r="K21" t="str">
        <f t="shared" si="4"/>
        <v>High</v>
      </c>
      <c r="L21">
        <v>16.60830415207603</v>
      </c>
      <c r="M21" t="str">
        <f t="shared" si="5"/>
        <v>High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E3A8C4-527A-4004-91C3-1603D144EC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Index</vt:lpstr>
      <vt:lpstr>All except broad</vt:lpstr>
      <vt:lpstr>Transpose</vt:lpstr>
      <vt:lpstr>Broad Components</vt:lpstr>
      <vt:lpstr>Food Components</vt:lpstr>
      <vt:lpstr>Misc Comps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Medha S</dc:creator>
  <cp:lastModifiedBy>Medha S</cp:lastModifiedBy>
  <dcterms:created xsi:type="dcterms:W3CDTF">2025-09-25T08:49:28Z</dcterms:created>
  <dcterms:modified xsi:type="dcterms:W3CDTF">2026-01-14T20:30:07Z</dcterms:modified>
</cp:coreProperties>
</file>